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filterPrivacy="1" codeName="ThisWorkbook" refreshAllConnections="1"/>
  <xr:revisionPtr revIDLastSave="0" documentId="13_ncr:1_{864F0A95-5B5D-48C8-BD40-5714627DE536}" xr6:coauthVersionLast="47" xr6:coauthVersionMax="47" xr10:uidLastSave="{00000000-0000-0000-0000-000000000000}"/>
  <bookViews>
    <workbookView xWindow="-108" yWindow="-108" windowWidth="23256" windowHeight="12456" xr2:uid="{00000000-000D-0000-FFFF-FFFF00000000}"/>
  </bookViews>
  <sheets>
    <sheet name="Constants" sheetId="5" r:id="rId1"/>
    <sheet name="Queries" sheetId="2" r:id="rId2"/>
    <sheet name="Documents" sheetId="1" r:id="rId3"/>
    <sheet name="Data processing" sheetId="7" r:id="rId4"/>
    <sheet name="Data visualisations" sheetId="6" r:id="rId5"/>
  </sheets>
  <definedNames>
    <definedName name="_xlchart.v5.0" hidden="1">'Data processing'!$D$7</definedName>
    <definedName name="_xlchart.v5.1" hidden="1">'Data processing'!$D$8:$D$34</definedName>
    <definedName name="_xlchart.v5.2" hidden="1">'Data processing'!$E$7</definedName>
    <definedName name="_xlchart.v5.3" hidden="1">'Data processing'!$E$8:$E$34</definedName>
    <definedName name="DV_boolean">'Constants'!$D$5</definedName>
    <definedName name="DV_type">'Constants'!$E$5</definedName>
  </definedNames>
  <calcPr calcId="191029"/>
  <pivotCaches>
    <pivotCache cacheId="3"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 l="1" a="1"/>
  <c r="E5" i="5" s="1"/>
  <c r="D5" i="5" a="1"/>
  <c r="D5" i="5" s="1"/>
  <c r="J2" i="1"/>
  <c r="D9" i="7"/>
  <c r="D10" i="7"/>
  <c r="D11" i="7"/>
  <c r="D12" i="7"/>
  <c r="D13" i="7"/>
  <c r="D14" i="7"/>
  <c r="D15" i="7"/>
  <c r="D16" i="7"/>
  <c r="D17" i="7"/>
  <c r="D18" i="7"/>
  <c r="D19" i="7"/>
  <c r="D20" i="7"/>
  <c r="D21" i="7"/>
  <c r="D22" i="7"/>
  <c r="D23" i="7"/>
  <c r="D24" i="7"/>
  <c r="D25" i="7"/>
  <c r="D26" i="7"/>
  <c r="D27" i="7"/>
  <c r="D28" i="7"/>
  <c r="D29" i="7"/>
  <c r="D30" i="7"/>
  <c r="D31" i="7"/>
  <c r="D32" i="7"/>
  <c r="D33" i="7"/>
  <c r="D34" i="7"/>
  <c r="D8" i="7"/>
  <c r="E19" i="7"/>
  <c r="E20" i="7"/>
  <c r="E21" i="7"/>
  <c r="E22" i="7"/>
  <c r="E23" i="7"/>
  <c r="E24" i="7"/>
  <c r="E25" i="7"/>
  <c r="E26" i="7"/>
  <c r="E27" i="7"/>
  <c r="E28" i="7"/>
  <c r="E29" i="7"/>
  <c r="E30" i="7"/>
  <c r="E31" i="7"/>
  <c r="E32" i="7"/>
  <c r="E33" i="7"/>
  <c r="E34" i="7"/>
  <c r="E18" i="7"/>
  <c r="E17" i="7"/>
  <c r="E16" i="7"/>
  <c r="E15" i="7"/>
  <c r="E14" i="7"/>
  <c r="E13" i="7"/>
  <c r="E12" i="7"/>
  <c r="E11" i="7"/>
  <c r="E10" i="7"/>
  <c r="E9" i="7"/>
  <c r="E8" i="7"/>
  <c r="B2" i="2"/>
  <c r="C2" i="2" s="1" a="1"/>
  <c r="C2"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<sst xmlns="http://schemas.openxmlformats.org/spreadsheetml/2006/main" count="44" uniqueCount="39">
  <si>
    <t>Type</t>
  </si>
  <si>
    <t>Le BIM sous l'angle du droit</t>
  </si>
  <si>
    <t>pas de focus sur la sécurité incendie, mis à part le rôle du coordonnateur SSI.</t>
  </si>
  <si>
    <t>France</t>
  </si>
  <si>
    <t>https://www.buildwise.be/fr/normes-et-reglementations/bim-digital-construction/</t>
  </si>
  <si>
    <t>documents très nombreux, filtrage croisé BIM + sécurité incendie ne donne pas de résultats pertinents</t>
  </si>
  <si>
    <t>Buildwise</t>
  </si>
  <si>
    <t>BIM digital</t>
  </si>
  <si>
    <t>Idt</t>
  </si>
  <si>
    <t>001</t>
  </si>
  <si>
    <t>Interne IMT Nord Europe - Cours de BIM</t>
  </si>
  <si>
    <t>Query number</t>
  </si>
  <si>
    <t>Nb of useful docs</t>
  </si>
  <si>
    <t>Platform</t>
  </si>
  <si>
    <t>Keywords used</t>
  </si>
  <si>
    <t>URL</t>
  </si>
  <si>
    <t>Comment</t>
  </si>
  <si>
    <t>Étiquettes de lignes</t>
  </si>
  <si>
    <t>Nombre de Idt</t>
  </si>
  <si>
    <t>Data processing</t>
  </si>
  <si>
    <t>Data visualisations</t>
  </si>
  <si>
    <t>Country of origin of the documents</t>
  </si>
  <si>
    <t>Title</t>
  </si>
  <si>
    <t>Country</t>
  </si>
  <si>
    <t>Relevance</t>
  </si>
  <si>
    <t>Key informations</t>
  </si>
  <si>
    <t>Related query</t>
  </si>
  <si>
    <t>Year</t>
  </si>
  <si>
    <t>Cited in - name</t>
  </si>
  <si>
    <t>Cited in - idt</t>
  </si>
  <si>
    <t>Query idt</t>
  </si>
  <si>
    <t>book</t>
  </si>
  <si>
    <t>scientific paper</t>
  </si>
  <si>
    <t>lesson</t>
  </si>
  <si>
    <t>web page</t>
  </si>
  <si>
    <t>Constants definition</t>
  </si>
  <si>
    <t>Constants values</t>
  </si>
  <si>
    <t>Data validation lists generation</t>
  </si>
  <si>
    <t>Boolean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</si>
</sst>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u/>
      <sz val="11"/>
      <color theme="10"/>
      <name val="Calibri"/>
      <family val="2"/>
      <scheme val="minor"/>
    </font>
    <font>
      <b/>
      <sz val="15"/>
      <color theme="3"/>
      <name val="Calibri"/>
      <family val="2"/>
      <scheme val="minor"/>
    </font>
    <font>
      <sz val="18"/>
      <color theme="3"/>
      <name val="Calibri Light"/>
      <family val="2"/>
      <scheme val="major"/>
    </font>
    <font>
      <sz val="8"/>
      <name val="Calibri"/>
      <family val="2"/>
      <scheme val="minor"/>
    </font>
  </fonts>
  <fills count="2">
    <fill>
      <patternFill patternType="none"/>
    </fill>
    <fill>
      <patternFill patternType="gray125"/>
    </fill>
  </fills>
  <borders count="2">
    <border>
      <left/>
      <right/>
      <top/>
      <bottom/>
      <diagonal/>
    </border>
    <border>
      <left/>
      <right/>
      <top/>
      <bottom style="thick">
        <color theme="4"/>
      </bottom>
      <diagonal/>
    </border>
  </borders>
  <cellStyleXfs count="4">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0" applyNumberFormat="0" applyFill="0" applyBorder="0" applyAlignment="0" applyProtection="0"/>
  </cellStyleXfs>
  <cellXfs count="11">
    <xf numFmtId="0" fontId="0" fillId="0" borderId="0" xfId="0"/>
    <xf numFmtId="0" fontId="0" fillId="0" borderId="0" xfId="0" applyAlignment="1">
      <alignment wrapText="1"/>
    </xf>
    <xf numFmtId="0" fontId="1" fillId="0" borderId="0" xfId="1"/>
    <xf numFmtId="0" fontId="0" fillId="0" borderId="0" xfId="0" quotePrefix="1"/>
    <xf numFmtId="0" fontId="2" fillId="0" borderId="1" xfId="2"/>
    <xf numFmtId="0" fontId="3" fillId="0" borderId="0" xfId="3" applyAlignment="1"/>
    <xf numFmtId="49" fontId="0" fillId="0" borderId="0" xfId="0" applyNumberFormat="1"/>
    <xf numFmtId="0" fontId="3" fillId="0" borderId="0" xfId="3"/>
    <xf numFmtId="0" fontId="0" fillId="0" borderId="0" xfId="0" pivotButton="1"/>
    <xf numFmtId="0" fontId="0" fillId="0" borderId="0" xfId="0" applyAlignment="1">
      <alignment horizontal="left"/>
    </xf>
    <xf numFmtId="0" fontId="0" fillId="0" borderId="0" xfId="0" applyNumberFormat="1"/>
  </cellXfs>
  <cellStyles count="4">
    <cellStyle name="Lien hypertexte" xfId="1" builtinId="8"/>
    <cellStyle name="Normal" xfId="0" builtinId="0"/>
    <cellStyle name="Titre" xfId="3" builtinId="15"/>
    <cellStyle name="Titre 1" xfId="2" builtinId="16"/>
  </cellStyles>
  <dxfs count="12">
    <dxf>
      <font>
        <color rgb="FF9C0006"/>
      </font>
      <fill>
        <patternFill>
          <bgColor rgb="FFFFC7CE"/>
        </patternFill>
      </fill>
    </dxf>
    <dxf>
      <font>
        <color rgb="FF9C0006"/>
      </font>
      <fill>
        <patternFill>
          <bgColor rgb="FFFFC7CE"/>
        </patternFill>
      </fil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CD92BEE7-DC05-4C6B-9467-AB293F328AB1}">
          <cx:dataId val="0"/>
          <cx:layoutPr>
            <cx:geography cultureLanguage="fr-FR" cultureRegion="BE" attribution="Avec Bing">
              <cx:geoCache provider="{E9337A44-BEBE-4D9F-B70C-5C5E7DAFC167}">
                <cx:binary>jHpZk9w2svVfcej5o42VBCfG9wFcqqu6qvfW9sJoSS2AGwAC3H/9zZY9M/bcCc+nUFCqYpEEEomT
55zk37+uf/vavb74n9a+M+FvX9df3+lxdH/75ZfwVb/2L+Hnvv7qbbDfx5+/2v4X+/17/fX1l2/+
ZamN+oUgzH75ql/8+Lq++5+/w93Uqz3bry9jbc399Oq3h9cwdWP4i3P/8dRPX+1kxrfLFdzp13el
fzFfX9/99GrGetyeNvf667s//eTdT7/8+43+z0N/6mBc4/QNrmXxzzFhAqUkefdTZ436/XvyM+OC
JixN0t///OOZNy89XPffx/FjFC/fvvnXEH76/d9/XfenMf/r6zrY7LcJZ/ZteOXDj/n88ueA/s/f
/+0LmOG/ffOHmP/VuX+GJn8ZX4ofMf3DlX999h9h/rdL/2ppflu147df3wn2h4V6u8Pvl/2n6P7j
968vYfz1XfozZ2nK0pjxNI1RSsW7n5bXtzMR/xnTRJA0EYgnIsaUvvvJWD/qX99x/DMSCPEUccwx
jRPy7qdgp7dTDP9MuUhiwWKKKUvi+J8ZfGe7TVnzzzj8/vknM/V3tjZj+PUd5u9+cr/97G2cnCWM
iQTRmMQMwScBw3NfXx5gl7z9+v+1A6985QySXb9sVzNd46IasZV+Jvq81KM+d9zT0k7J/GhFsS7m
M22WqJZi5EYm+77drJtbznZ3Sv4hiP9fY+OMEkw5IUmMIIqQ838cG+ojNwYbZml6R6WaJpPzarwb
9IbubddLW29kkM1Cm4Mhe3JOhzm6Mt5HWbqJKZ/RKPJx4u1ZNRTnfz24t3X7c+A4bDnMOCzv298E
Fu+Pg7MDr22F2kmmbl8lC5RnaJ/9TWUEL7ZPy4j0TUPTvmjduuXKReyxjXhu+PPsZnsz+RfXrayM
RI/Pnp8qHtNnW9U2T/AwHOnQ0LwKQR1X53EWFj0Ve7eIvN5QOHRMZUm0xCe6an+IRHScdyOKeO4t
ktilZ4oXffvjkKYqLWuKqIxgrf9LEPDbCvwpe3iKcYoQ4YzRhAr85yBQO8XVqKiXvz0aKXSkNl+X
3X7QiU1u/FLLrmNPJFX0WTT4GveDOKKl248/ZtMHVF/GKvX3bVPpkmv8G8L8BjD/IYc4bJQ/jxDw
ErYJZgQ2U5rEsJH/uEz1FCeN9pGV28wjmy31lB6Ushfl2H6xxLPSJSIfkBghtNre9B3uipnjNet4
u5Rrt2E5dMTeNPvQ53ugY76u03Zt2o0/6rr/kvr4tmPrHfO1P/p0Sy486u5o2+GHlOqDWvrtWjeN
ke2uwu1SrTxLeZc3oUOZJkadQ7O3N65u6DPC5rS7xMl9GslRsd2f8aoyRTv8ZdD7c9Bmvh3roRCI
1mVFyZ67lDcPaZvqK6Y6L11D8kCn/olO+3771xnP/0/GxxBDiGTMALQArd5C/QeoYCuz/RJbK7X2
32bUjQ+B12MRaiXtvuHT5vhdZbC5815TyVqrbl0bvqOhWm6nOFx17WgH2aeNOVQ+fXDI+ksfp5/h
2vgwbZu/tIn+YncTLngNtNjnwWdqaWNpBYsu1qr8X8uxUAhR2nSm6IZVP65kdGXspzNj0W1XLWeq
a36nfNHt3N7wlclEVE9mpsOnPdloNoXNy32t2nJxZCyFGOqyNUdEo/CQxP5+nldz6/v+sd5RKuO1
djc6mG9ptz53YsUnxSd1/i/xTcWfkzUhKKYEEZTECRacohj9OcK9qON05XEr8dLs+bbGVPoxvVlX
cj+0lMkI70H2GycHK0JeEZ0W0X5TtbSXajzXlqEswjE9bw5/Fn2a8WruL45/9QmrL5XuScZsksht
2YumTpNLFwiTE45IPjv8xSuiM75uLI81+a7fNvJOqk/r0hVJsk/XO8aR1Lw9tGbxMkFbyI1L/Tke
iKR637KqcYOEX50t9eR66qYnHRGZeBRlu+UPohHPc4MkaaPPA9rjK2eJyFffPPsRHZQbTnQq2j7W
BeeESsP7m8kVfNkKrxsqa+0fEtReai1cjllyzQJps4jKnYUH3S/3Lt27bNuHM4lDl7OKFrQVX7qm
gSXrHlutPkTVmuNa6qhzUqTYSa/wc2j9Y4Ifd9eZLE6TKuswlnqfpoyT5r6P5xe7PYR+PEw7wG5o
8Xrb6+/zUrP3mHUy6bEEusmv9xTfiShqjimq08zNhh6Xetdytny8eDOupe5omzU2mHtjLgSJ5oG3
t6uIxv2umkWS95inTvZz7ApsYBCAAjiPojrJfCyqXfKNFFgt9o4gdXAiell6lJbBb7dtu5Hbxpnf
D5wgD/FLbq0j9iqZ+/0jSd0pGSadr4ywE9tVl6eKqYegm6WYUu1uk001BzpgfsY2pFdmMHecY3FY
Jl4f+OSqOyFolOGkCx+w3r/rTohvS9pkuCt5H5ObEGF9++OQjhU7rBtEWVUqo3iuznNfKSpjw+IC
btBnvasUhPkNcq1epFtb9sraD84qrSXp3bFdN/XNVd2nJp3s55qHRUadZe+rvl4zwfjyKOYqJ6aO
zxMz4QahLlsN7p+Cj7BULiXnpDrhjiVPGs2f2OTWGzzH5LnnQnY7vU7Sdb4bo3F6que2IPHAPrSD
K2s17uVQ0+EwRCo8R0n6PmxLcmB+94UbtL7bod6n6cjvPR/323lM5ahWezNMhmUjp2ke+7YA+BTH
dN5F1gu+ZV1t12wXVJfT5sijHzedacihZ1aplzUh9nM1kHu74eaOUh4yFc3pyZoJF2z03398Co1w
/LcTQy8rs7DTjnRkpA00Ov12INHNQFWvATs4y/XbHh9qV5+6BGSPre9I25tbRabhPDA0y8Ho9ENa
3XRrmxbIjVWh0v1keTrejiGOM1vZJWOr2UoayAyJvSqX1fPis4Qhcf7twGORaZoNTTbNNsnGYRov
/zoEUrVXs9VBpgMszhyqgyLt8rEKKL5qYChZbTQ5RfNQnVumaZl2bL5OCD63WqP7BsEEiXLTkXRT
dUxS9r7G91E9via98uVat/dm2fxt0g/xNW9ZJInGZzxg8hLPpV31/KUeRCXJuPNQMtgAB09Re3aO
8RNrgvzxyeipyh3b1ruJ8jJq5nAvaI3PzcwvFm5/Pw7sOtTjeKxbpLOm3VTZ8n3I/WTJFU6b76En
5I3g2EwM/IOt9aPb0JoZxraPbkc4I9XGs66KgaAhNIVD78fxNON2PGExb1eo73MThaaXfF8eQrOK
XI0MHdYpj7rUfULj8op9+FKTJdxqCmwFcwPskaDuNAhIvMr15F4Fc3KrHx/aOh4OsT+kKwkPbZSj
MKYPnXIPhrKhqFM73s0KjXd+0xDeilRXTWrSUz02qnRKFAlr8AmDxM32rf9qoQif16YiR7JUBbIn
tOHeZuk0y26u64+cNyaL4iVbWdJXMlmU/tjN6fa59HQ0T3weUbFTGxXj28e2b4G67yJ5SLf6dZ5g
9fp9P+B+VUeh2SOa3Xb94zAlCTlgO3Tv6Zjuuekne159N2Z+8iFXSTocWLqZfF4pEIuFzWPW1Do9
MFG9IEHtZY9GYHpxzQBFDSvixaArWGWVbZ7NDyTZ7Mmz0Um29/ND1Kj+rNLuw8zj6cFG0/SQ9EDd
a4ZaGc1RI2emh+NeIX69tUbJoek7gH7Krhc/r4dNQ7lOJ9Nc1xELVkZv//3x+cf/hDGTFLgtVjup
u26p6/zH1KrQdmfPPng6zC+4CWMhxFIGWNJFeXLmjvW5q9u17IG85JXA5IoOwDdhd6QH3WKTebxG
paM7sFUoRmXfVEFW3bac/db6g4o3/hv33DslRUc2Cfu4mMlOLsB0/GGf+vdDZZL7aN2T+7QT/K3S
ffsxT6TccWpEf5dAIcmS4FGW1om/3+e2z9mgD5iMphgWR5+1dSAizVTQqgu36XIimA9l3XWLHBJh
zvM2Aujv8ykaensmyADAbksvl0Gbp2oY9gzXc5OpUVelSlSaRVpZ2cd0eFRrvhGKHyJuRL4VPWC7
bIKvYWvrp93bM5S0+aHZ9/HQi9TLphH3bq20bNBijnowQOF3Oh2WdL/xDrn7UajrEE/Tue7jYm+U
+9TP7YnPBSXz82acOLFV+HIUvC+tHaASC9rdJHvCpYucKfW4PaYgFy6wG+2DMq+jw/GHlu0mJ+va
3XniXL73KDxGXNe5WdU3xBdf/vh570l9UvEb+wjLlwnv9XkYyPBYt/iz3er5nI61f5x6VVKR8hzk
jS0nYe8RUNJ8WppXsSObTey2afb1dhhjWccgkaGquK0PX/eGfKOL1U+UL3OhGcvUMPFT2OYbP/tB
JtiJS9K19uxbKF0gQDqlh1Ityae6GUfpyNLK0cx3BtyM690hLHdrDh31DwwK6QkoynJDgtVynNsz
Sh2WXDRSu5rItaUZqR8bljWafWZro44LEfDMGiii28e6nMUtXaY0swlIrdWkedP39QWlQE07f1l0
0z5v43wJs70POILNsoQdwIKWa4Vsbof2fYMVPwdQ13KsWyV5II9xQ99TyPpriN28d2W8VjxruvF6
YFt9couSTZnMDh2qbbvQZrSF4LiX6z5/SeE+Ss1F2gs5Kd3BqkV9sU5ROQ5zNhO5uCq6bHFUpAg0
YTL18zn2SVPU47oVu9tuYwGEme1RblATX7GJlVMymqvAW9kuQ1WugZ9oGmmAhnS9mdRDPeGqJGkE
JNZEQNNIdO2oWA/W3qIOSeGCuu+Sfsn4wAPwPV/Q6XFVs4Xc+h41iJZzd6qQPmOKQ2aB3OVbi/J0
H6AKtHMk0bZ9Ri1qHmh/iEInmX0AEyA5EURJRiwMZdLL/bCHcnXUXY+tK0dSiVNcv3E2dEj1lEi9
mFuQIlANPVlzfz3UaC5qnnuQ87khs8nqtXqMTZReRTsulbNjHqfTZ27SJON99zpt6obFtr5ZgZj5
dTIlYWqQqclr53lWj2i/Wrtve+rySGl0NnR/0orbq8GKOV9nwLBxXa/qrTtPW5uFHtIy2SDbhV5j
WTXLE56CLXj6KYHaIn3tSKYTJq4qbD80nV6yOY3qrNVAY1qfyMV/9jRdYA5VA/XwEyhrQMklknMd
+nLvttd0a9dsWVDWI/ye98mSNU3tr3XkLhMS92RBUU5o5a66pr+oNr1UHj8nI1X5Ynl1GEJz2+CE
FzWJv08AIoUm8wbPBba24U+GklFChf9YbxGDNeFTubn9REVUlaxau9yw/TTE4/KmTefz1i13of26
xP6mTrv+dmu/RKgRB+B162Nv0Gf0PEHeX6XL2mV6N5lJAy2RVpCxw36+VDPJ12oQ+ZSEWjIT3058
tWexOSNZs38RYrsK8VAVeAgij2vFTys2xea6DRwbkFDtmHWOt+Wsh7XQI33AGwi0Vo9y6+gbfzcc
4HI8Lhq3mXE+yZLOoJumFZeA3RNP56GMB3rD3TScOjAMpxnSmfo1gDbais5gcBrNdq3UuJ4TgHoU
D5KwpZPLtr02dXsgiq9HNrIqQ66HIpL660AHKgcgkw2N7BFcvue6Z3fb6vZynijKjU1fm22R0zbw
EoVeHcxTQjqa6ZF8VhY5OQw6zqsG4FRt4LOEIMOGxclte9bOc3KF9iWVJFZxrkBidrt7Ui3MtupU
5mgQ57RvZ9C4jc9n3gSg+qe+n6dD75pnE1XpYzrXMm5QeIhatWRbPKaF6L8su2EyKEGzWINtt26t
RGk7Hd80URMNVi4ogcVvYJO0UQamcFQuQrdy3yGFU4AjSXHlJIbiHavqoZnr/Toehkpyt175GfBf
T8gekjR6Mcp0mUl2mfKhv+4CVWC5LHsG7un3GryF3CFur8c1ypJWnG3U7VAN6HWlWHVvXHwPpAqR
yL4IJu5XUHDEdh92m9w3IVaSrlzlPPHmsAlgI4KafG+YuYQOjNg+dENmFhBTO98P+yDADBzxWc/D
V5suUBpBUEFObhJPk81M5Z1MVttkdTK1lzgVSwE0iNp0zEU/OSDL3Xqlx/XrgFgMgDAc20SFfHc9
y4O44U3PpJrNN4T5g9osl2YHih1TxXJhe/CFYOQZx0DuEM5XOmwZZEjIxhTCqiuSYQstobADRJi2
yUXTH+c3P6KKtc/bsZO11XCnOFnkaoYLbip0tbftdTu37LgtsGbcb/iKIj5I8Csk88qc6Mg/gSlg
Jdk/B7y2hy7qpnJU0bEjSZ8NPD2qUPXZwvapMHt/5XjVPhgbF2760MZKZf1iQyl2fi8qoMkKeFy2
EsNzQSrQt7wGqTxgwEbMs3ZRk9x02CSYdp0kK3aZQRCDPvRgfOO6KUjfyM4ClhrN5qxL6sJEy5Yt
Yr3Cc90ddA8SHeRz7sXmswl5WIOt/uiR1PPsvoyVgX0bkTKe8ZBRbdPSAUNf170/RjQcRbp8mqO8
Vfx1q/sh41NmGy1j0R2tZzar4sdk1yBhlmbN8IyPjPZb7mJRDnohx4l/6EhbZ9z2MBsRDg0C/jrp
PVuGepZiS6sybtiBgLHwkLjtXjUjUNgWt3kfAyQQ0/B8rwDLlrrQU3NRbFgz3VajFAtY7HyAUiSQ
LVSz7tloKc1UgNodR+OxDaBZnGVQxxgKkNhTm2MXF8h4kcVbpa9IxY8YXMA41uBAQruhFkN1amYl
Hdfd84KT0ofdZ6Kj7oD00OaLtlO+jxKjxV18OBCMQ7n0EPW1T3MQBeEarKH4ArawnwFIa0JsyVtw
gxlyp1Houkjw+mFLocA7A7GbvJZUgESrbZ1vLqlzgXYoKSQ+76xZckSnsfAYmFE7ka3gQGsXDLtC
OFHiznPAU+ugwM1z3r1lZWz6tRBs/kz6+ZqR7rOpw1haE8EIuIVUGdhFM5v3M/QcRPw4bpiV0I6c
YMNlfq90RsJeaP4GaGCaMxLyhYo58/0YsuZDzPUXFCVTXtfjU78lj+M0vNdmqqSZjStAJOV8gxXm
e4KvlM2iiCgoDdWFQX0oRbVeiXFJrpiZoWJyY4uGoy8ErK988FgVIX6jdQhsbsXax3GuSiCnsWzi
NLq0I2iHHXiQNJ2g0om28Mu4Z7wWs1zrLWeADgD+CrTWuoJ1KnYZEqzycTVe9mY4i4Y8R7pKZOf2
CKhbYi49otk2GZLjaLJQgJLoNGvAOMEw7KFtug6rbrNYdQQmmERZRaGm9rUqRBPaDPIUlS2Ca6L5
mabNeNIK9hXfcbHg0OahB6k7zBL4bJwlcP1VqIHLt4uBBW7mk62CkjvQ6nPo7U1AI1BITmdo5sDT
dxvtBV/3okfqBpg+2IEMoH1JKnANbZ31AHzLDpVw5FeOgoHj3OrA1w3whDEGKatz5rZPg1jukAN3
RYGnC04Mvw/beqtFe6o5mkDskKEAvrlV0aEjOpGuZZe4mq6hScAB0tpwELULkrN6lTF0pkoc7+wG
bPwC5OxTisUOfhrUEkilYYgO0Ezz+ZCASwJ6L5wiakFc+MYB/Kj4ZLrYZmOrWBa8MNfY7eaaJ9UK
xBwA0C/pldqZv1qm0QOFmXJcJSDFSLUWjRUib5FPy06tEvmmO7Fx+DTA+lxWOh1bro9VZOyhjjS5
rO2ezVvfnHxwucLDp3H12wmPUStd3MOmR72SET6BjNzeU894njhMMw7yspoAgMOsojuQl/VVy60u
WeiEnJMiiRS+IaY92nSbpY/3SUIv6W6N79p95XIK43cVr5McY33DiconvnyJuL8BcZAjVwDtvUkF
FD8925eA8FR4QW+AaMh1s2U6XvTEPobBvSSt3uRaxkvF5R6KRidf1w2+ol1/JeLtKKblOG2A1LF9
mgb+FdjYQwvaEwr73MWvVbjS0Bn45CDBA2WFUPP7wCskuUrOQz+MwBRgksNqnqDFg2USEhkv25Ct
aMdQlJNPzdYm0mPQx7x5nfrmYRvIGTdZXJkbV/Fi3jqwldMGOpmznB14k/FXt7AvYcbQtlSNlbiy
4Neah+1rssJ+6rv1A+63OAPK8DQGkC18O5Ktwxmo+C0ncZ83wMtk3MM02xR/02wFPxE/gQUGeQc4
PvdDoZbKZEuk+0LHMMhm0/kSoAiNQ5xv24SzOXFVDqbJ0KLn0a7g76O3jVHfsrvZGneqKhvk3FWz
pE33NCbjbdTfN5UDZrt4L8e04WUjZn6sBvTYteZ9l0RgJa/uxrdVyLyod6B+ICumyFOJWGC5qsav
7TC+T+oe7N9+fit+DHBlfqxM6y+cRFcaT3FJE06hkMzQQ8E0lFPUkWzm9rQErUDi4e9pHeM3w2WX
KMmTJZQtNNSCXxG0v1roD7NkAvdbAXTMqhjTmMt6ZV+A66yl11+gnVTQRbDb5Gvgb05LPLKjBls+
3+q2gFcSUKY88NIoeauvzc0ELPbYLNCDM1Bd5JpWgPYdUPMuXauburev414d4zVcIrSWzcLfj+Cf
w3iclx1dYtm2lQCornym+ZitvVU3lSa2QABg926oeK7vNmSnS6cmfhjg2nEjJcy2PxuLc1QPn5cq
yrdFhFsUiJIr614XBHYCal8qkKdAztePDvSpFCEGFwP69EUVWH+1gFeep3WfNWO9Xjx44ZmKQZRb
ukNbnmzXfaiiDxVty4QG4GBVVJ94vHxgy3ydJpuTkdV1qVuwgAc6PmykdmWER5U1fKrlCC3Yc5if
oZarq2BFOdayTcYvY6if45W1D8iAvlKqfT+EZTns5L0RDbpFeuuAq3ookgFi0ulVg8pZ6zKBt0AA
Jab3egD5Ws3bLbjZ9WHXL8yDnzr5ts027SWFLkRiBtBE1VLn0DCGJCNhONOY5j3vCzEXcT0uX1BD
MgoWiOxUGufG68eKwMYJrpklxFs8Jkn3LQh4l2Do9o9NV13H7S7Asb0W9kTAVpRoTM4raT6uGwU7
2D+OHUc5wW1p6yG6Y3ttZZiAhrOteghkmq+9NQ+WQAMgDcJkrZcedmm2zf1y0ut6YHgE+R8oWATW
9mXk7AZEfQEl2E4neHukyQcOiQXvNvUZhP6Uxj24fni5mRN0iqfnxNqlxO3OJYsFgKdKwVkQQJbm
MR+9SiQgVlMOYKmICd66gJZxPgD8ssq9vPUZK/aRKldfEcYrualQ7iz6MCRrJVvSvdFEksN7O99H
ndqrfoueiUluumlW19B0X6QxIBFMR299dKHTdBomVKpZyMGtKA8+KVwlStMb6aDnJ+MEpEefqKdq
qj52iX5jzNV3BbbMQqDOz+MifQTIwoGpInzfz/yjZTvUopatWRh9Hk3cAQFogKmDfValvNywhzdt
7iubkqLBAEKwuA8bvBcG5KX5FCfA/WHEaTZXBgLxYFvaSXij5yML4FvGF1yzUcZDC14Z/V8m3qxJ
Tl1t2v5FimAQAp0yFDX34B5snxBuexkhgUCAQPDr3yzv+OL5Tmq11+q93V2FpLwzrxRcrF0fEzOs
+bqtESyJ9RDMyafy5t+tGT9UMgAnmKZygnWUuSSYyrUZnnUrc9fMXd5UEpPFAnXiVnVZFvnGqukV
mjSrHJlT40XVYUZed1iGQj/mp1AxcQiCBSouRNK3rkGhpdaQI0mX8hH4QxDGSx5IjcyT2r7oeavT
aKYR0jvARFaF61M9aLhjcsfHtfUI0ODJaGy6bpfqGk7y3mvTZN4WZy5ewtS5weQIe1MFazWt3AB8
LaVrtWR1vLSH1jP5xj+FiF/iivvHHpYEbAkrYcz2EJmSrSlfq8voB98AQNTnjiCppG39xjGM5VHE
wAxsY8EpQj5/FkHW9PLUtOGS1gBxsH5ptnhTnOPXbHMP2/zNh7FHBGxcNcFpXJPePQ96KmtXve7x
gDfJdAc5KFAysKu53+yf5NBNIE3g+fmTiDOMI68TiX+yYP6LrSHOsEm22QJLK+Wd/72Fr5xFs1aF
lBc/Rq7s/DRsAlhJ3tsW+6UgsALYRtUhae2Pdl+uUWuqp3VLO7nxK4xQjaNqr/IexxVVaVNV+7n5
CobWL4eo/8uWQOJA86rCuPrFYkucWuSrPG5pOs+P0YV5J5FAvSIRTQGzJSVTDfbN7uyT/dhGzd86
xCnsNbDgKn/NVondqcEo5sTMjvswOUyuWPymW9os3AeLqQNZSvW8BtXXMiIvi3vYaJoBCWjrfSvr
af0pPV3YFWlfEpn53O7qMm1tVzA8Dmdn3bnfaXCWtKlKWam031gZxzVEyuYw+we/LLFYaF77UbHK
z+D4rXWfs2U6GY2fZJt/g4Bb4EvwCLavfRdYGZEPlRcHW3ALwvYq8l5FP1sk0x+iM89m6my6+h4t
JYzLwkjHcxsuoFc8VirXICKMsdGoOLjXvf/Qxj+ikOjT8lzNSpYbPK7UzeMbFD/FQc0WfBpszBgF
TzXQOETA5PB/psm99viTitxUhvs1xixZ1B0HciX+9kiWpoDDMghJOo0z/aapucSxxNmIf7rdQMVM
Ih/H8ZOYFpMYHeZ0RnxElm4+R9vISq7bb5GQL0p1MSQT0lGkLMWaDH7h85kc9ssOSz7pEoRivQRr
IRGlW2A5I1cT5qCeZXPVqPPUfUJB6Ytdl3NHPZczhKhYvPKwr+TUm/1X1C9rWnsQ7XuKECetO9p9
VxNyYBXcMdGbhd9aDI8+q3+LYcIZSFxRMeAHDc693I5+c0CKXaVcJCChBoonsoNQof9h5M4nHw4+
rJCevBj2XdY+AzcIymO2e/Tk6rZkFG+611QHPkYwzdg30cEQYvHQFw+Oj896OnoWJ/kGHGRKyNtc
VW2R8H4ptmQVGSZUnQ/t+N/QGlhpxqZNjVSRw5HGt3/356QvfEX20iYLKYYeEIRs1jxB3nsa3wYl
hlsw8JNqxzFvrd+meJqwmfxaWv2cOLpmelkxbI2Y5RXDaoOFWfAIK0VNArSGdqyMhLmBCyPXNflu
JlNfAzXC+6jqNlPGPrUrOA7O/nSTjs/xOP2q+TfRTzIFVpqc25F5t8jrPvYRz2UTJSv4DLHcKa9f
xAiHY/Ks910G3QeJgmM7DH3JZyS+wzOF7srWft1TqOU/SufCsM+JAEmZoTxoEp2DYb94KpJXizld
2K86qiHkKgBwjcBXU9X86bZM8lGmNWMDBvPlgvPn2mo2557CXt1MYxZt9O8oEnES7V4XSD0yw4eM
RM1y11F0dKZvi9quz6NXyTRm3X6IHfGPfKwug13HE9UOUSYIgDB60vNGfm0KFllSQ0+pLqpfHC+b
BNs9AmLvrMZmOYuxrorQucLO8SWI+bmzftovAcAIOn0yDe947+eM7PMdENxh6PrwoG0T5kltPHjS
mmWLhiPsJxh6PboIOFqefvGB6KQ+0ywN2TrDcSKHkWDsUG0oCir4bY6xlYek3vOm69Jpik1qNWlO
OvlhEDFe5i0+hRHGqyEQLu9lX7Cd/G1l8+xvolzxYB88Mx3ljpytXw3Wxt4WsM/CdHa+SPcgMifk
9dm+7g5vYgIirq8P83gZlPuJ7SrJljZ40dzgHFBKHdo+CnNlkuA2Tequ2hk/6nywkTyuUdNiroUM
CD3YvazC0S6haae5Fdnm1FV2gTvASajy6X2T7G3j7dfm11PKbHQL4eTlwJxAS8EjzpaHK0vUtMPc
T12czCcRbe9ef9hGRHOqbuCLJzytkmLSQA5bSb60L0U2CIYkFiOdMByqYEsm+FFnpxoQEW08YKG7
F0HmZ+TGQRkY+avZkycO2wkWTQ23NkD2bPvXntrbZFWTh54BfNLCOWXel3PyeeuJl6+Y+AAWYxz0
wiEVcmvyyrO3nUKH1ny8e8S7eNKeY0ERX/Ggu5KouoOUeg1FXfaKQXax/bvFB90Lz0v59/gxy46F
NcSmlITxTbOlyQFtjLn/GFXnSX3M8343rcn7Hp5UsI7vZD9PVnxgm5jSZAyKGRHiWU+NgkyytHAe
NqvGJtk63ijl59Yhtp3kiGNsu83+8KMh4bVpu6FA4Pe2L1KfqRkvdpP8xFT8x1AJHs6H0O3gladL
F3sZAJEJZJj9ZMGGSdXg/JVNIrJ+dEDyKvA1dbictAdbvFFkTQXjJdBK4MWEvkbRtY2rOt32Cubv
YI/91B09NWBPArZ1xPybVWDNUuHCqVgZ0B5v68YUKYlJadM/R157TEb+C+JsT1c2cKQkHWAjiK60
NjgH/N0bDh2NEeuRA6Eey0e97amlwX8ta8ixGcEXjvzHah7s2cM5BfmtC4rpyQLK0+BgcBhpJNKd
xTkVk+eR+SVzwCDFzqEbcY4BITiHsJFgN5LLRMfPuuZ4aHkNmRonp21nsE/AwTTR1gIFqk5NvebA
6RvMF9BnHZ8FWMvoGIpj0gJV7Az53YvYpX0wlE5GF5g7FSYBnGgGVH26rv2TD9uzajTPbB8NBwlz
4NIkzQc+fA33yxNFsNDXNWKpr52XwSWnWQT0AeNHXlXYeWXfytR3rSgRjlY5wvBMOsMRnzdYpLS7
dOstssAB2P5f1/g37MdbbgBnYg38VFP8OUd7ViV1eBIWs+Xsy6KejIFq76AAxbeE1kOeDPp30kXP
zUBpvkwIncwGEEmFd0PkyzLvw4GvDWJHCheyJbsqYfF0HvlbTZo9w5H1TVx2iEtbAiE9wxH2lx7p
VLZPVXRPvC5KO4WsucPJMYu5S4msxnLTEwQieKigWrDg4+Aqo1XmM6sPmODe/C75tdv2P0QwMp2J
tiBI2hwU9xlzFM36NYwzr9Z/zMjeYjcgQw7xACL0LIX4xSlQhMZ6SPLbZMY2VNujZGGR+LDl9m54
gg2+bJEpx7YD2xNWAF2Vm4v/bBgcYj3RcmY+0orE0swmUqUBXERkPzAjuDfiqOG6kI/lSo3BxwZL
jVVDAfwcZ+hSZXOMn5k20zur17GIBXZvg3SdrNWLDHzQVg9xSpOvMXRX8RhXOQjqIrb7sffGi9rb
v40J48O0zod9vkyiuosByDQQlz/a9iXyzB8QZkCU1jVfqNZQkBPcNPPipPyqH14BjqM23UA05dVo
kLzwe9BgbgX2g9xH7V3BXSPh/A+fCjajV1F9iEbY43VtCxvyLdMzBaMQ9N2RLp/V2FQFeO0+Vf2K
M4jrYxv2F9dAlnYIkObYW/KqNnPa2eCq2Prae7Ethnnc0t6aHxtHHDVsxKUhn68E3YmJwPckIYTP
wj4MQnJEZN+V+BvMrj6uK470RXxt095nKka5Ioyr31iIUVk1HAZhO5J0AOmSkk39NUNMctGzsqPL
U5+QHNjthbRed3CRfcWRgY1OPT4u6udsCH9vsQDVkmBBLyDQHXWgPU5keWTPdn/vZmFTYVaRRkJ8
3ygdsmGcocr8Ain9yxyI/6wglx0dFpAo8V8dp9GIB8HOFoAx7cEqBBjnHQ6HHLEvT+nDRPb0b6pf
xo+O/geY6X1cvStb4XE4HQE0TupfiPRWLsDRSvtzmzmkqmuB2hvVAH7nU76sComGrFLBQ5XLkIGp
VRdYUEVdJVg0Y/SLC0hN1JGOcmMiS0hz6x6G+Kylf1hnO+JTcn/VIkDFVep70tbseIh3/MCRGzkG
pSTtuflKqPdjGmtS6tBBXgy8kA7IWs/Yl0J4dFjY/rkbcAIOLhfpQMCOTvZQSP4v6+anCiiiP8bj
KRpAXcEGGuCCiY/Kjgcf5FNOsD6nCvGL3dyHXRCjoVoyFa9AnL9rv+JpG8XqYBzYvdjBdt08eoYX
39wbSV4D1+QRFnS6c1t9/svDJ7J982f3s7VdnPoybgvPjv8h/f/Au9bmM/ibjEFA479JmUZeX6HW
0PlZ5j6GkD9x6d9FrOKD5rDv9BCd+tAPEAriAQx7ry13hoEWEe+QY9s9kxohF3RrADHTIw7wsLHt
izgFSn5ohSdC8GHJm4Ta1IMyKSf8PBCHIms39p23RGUOu1+/eG967P8sOMDzuk5exgBjuuXrx2Or
TbdbEqpHGBHhVES2E8bzZ0AHUfjJ/OzJdEr612CGv2Y7/YP0FsjwYv/sI4auPWj70mCrufWmv+x7
TNKVUJcPocXBugdp1VuXLvYuk/ovq8cvuIWvq/V2rHuwxWO4VynpQnI0Ny+UD2u4UvkWMYfAVxax
A5akZg/HSE+/Iv9t7RlO7nh6QaJls86ur01SRpTV1yRhhwozOVBsjHdKi7Ra9Xscu+dgikSZzFU2
js1ltSCutRJYKl6bt/FeKPLZaf0t6f0YrvOOuWfD6q/MRe4bGJmwoDF+A9NhWzXmquv6AVu2AvPT
fBxrdeEjRPEQBsdgMCuwMsyUEzc85YHOgBI8exvQGsTPZw/v/d6xs8dcfeC6gcvuw/MNjXmfxvAL
FBi2VsFx9o8a+WuH1Ighi6g49rVGdjmiIFinJHCpm3qSdY25LqDl5qWxJ8LXR0SECGb0X5xSIuOd
kKWHOcSXjS1ryP/M1uxVaAffosIM0bP4WYO9pzSQOeUepgpu3mHAwzPdsawX9mVmg3nCjcDyjP+G
pgBUhpT5qOQrKlmvDZ4i6PcRLuL+VgVhsQxRjQMW7glaSrcVGXK6VNAXew+rwaj6u9kFO6xuvzeD
/OhVgXy0PaHPU+5I3S5jEpw9H5YbQ08BWgWHK0vMpZtlvpG9S6Xz5aNA1WST3Yc8iNvxggpjD09p
eRqA9R8AjWP7I+fJQD1F3vYW4HPxYgeY1xk/62td3x88dB+DfB0Nf9oTAhGDc3DBBLUJAP04tica
2tRXiIMCDJRc2y8/3Fm5JkpnbgMWv0CF4mhvPXDXW+1l6EX+NLVtMkk0bG/VRxmJgQNI354S+Exn
Fnk3WucwrJHdG97lqxRfLATeMjwGqzGYn2cfQ1eCeDKt9kDn3YTUah6uceh+BLFbjxY9t6Wet5OO
zHdTdXfW8rrYrYZuPkDsxZt/G+hiDwmRKBJKv5BbqzKgIg4llfHn8CD7wfhmVtQ0ZdE0HHppM5HY
vOVbEezddt71Bw31elgk3mhUDZ7ZyJZSxcuUh/rPhHYP6kvde5Ts36bVAABM8Bfv3pgNGOIANMan
ZVuPmKDfZhp82/exznYFodPP8+e88dI141Nj0OfAkVBUq/8houVzMQaxnUdSV5PhZBjypWWp81jE
H3HQ/RV0/wGPXGSNmu9tvz4llcywU3QHVIiqLMEDmRKHD8GAfI98P6sg2jJvhZA147ka7WcUR8sN
VATP9hm+RxIvmU/7Y9/tYRFwuoKMmppMTM3rAnYY/30rktaDTkVHNIGESDdqc4adPh2gDiDJ3CeU
FApjOMiGGqfp4gHelijOldptwCT9vwjesE01CqAW/XT+mBIWSkBS66vfwOyEXaSvXciPK7+TERkX
s2jfeV+i1S9M0Ro+M1zGxah03MYtI4gMi6rvSTq25JOh3XSgcf/FBeR1mMibSMzJ9CG9cpgpx8gh
+t+pSB0OY1hIvMtiwyHy6W2tgNnPowUk2LGMcQalwfAADVCxsfTTZcKoaiMssKWnDXxS5sPJQjVw
BkoEuboPRw2QoCYr0icwJhkwmN/hnNylxSPN6MNlvMBaFCkQS4BoQE/z2EAo91PNyvZxaqNVqDJA
ofAgkhXqfQUCESp47vvEH/DxM9KbJq3g3WUJ5wdOgiBd/A7eq/3t0GE9aDJ8hd2CQ/4vi6nKvMkX
2VgJivJsQwoZCwtfH9LpIZ87glmJOCQZVjbnZODIwdoNvi/9jRoLuXWTu22Y34/g9d8R3CBYiot5
VoAT22exTncxR1CBXjZ07o5ySvui9uZl05Kew0F+W8jdcfca263HBNRchNq6fNNViZkhPg19830F
3HJyaiy6Ud02teMxHYV3AG8RX7xeVuVGJ5L2D6SHhJ8qELqE3CwHPRcoGF43ZMrthJF3iO4twMYi
UuJ9YYpjX4UnE31EaIWVbYv9mjd1ltRrjeace2qAdmIzGr4WEJpzjeXI9nysAFZGTB6b2l9yippi
SjuDhd50r52IkAVLVNlE/FO24ZGqboMRBNxrS/abW8Mls859xUNZsWS51G19XmGmP579V9rUzQuc
IKy/5KTdtWG2bGM5HioOw8bKD7c3U5GsqQxoktU2uYYOcFWb9KdlAWaD0LIQYrHXpJtKIjtZxmiy
ATSNs2Rq8IXf1t9q8OQb23KvEnkCqx/mu+jOW//e7JYg6mN5ooW5boAAfSvCnIz/CttPQ+Xrkkb4
XWfvAr5HF4zJGT6fKpqpggLdYce6oTsJqo/4HgyRchnTPg7h0zzoYuMMPbQ+DnuZJDcDtf7AYuh5
eMQCw2JflAAxizD1kZaatMEekC4ERYlwypoNXRzAFQG0qx+m1lY/NfifjBL2A6UXDmjc8b9x1IUf
M+K1UMa5WbeobC3wgWbfbsQ2z51H4e6MjZdiGT45G6Uu7GS2JLN34HH9rWsVO4UD9E0f/lJNArvB
98jBp9QAOWpOHbqihTRF4OY+L0fUDIpVG451Z01KMGMo79DV8kzm5rndeYPTUT7ySnxgCcMbjTqY
f++HX94a/WlDlJYlLFJS0faCnwlsZRToI4ODjyEfhZQERoDzjlMwLBeQJ6Xm+rdBW/3kxrCoqf/P
wfyN5sTrDIV3mHC0Zh4EdkTsryHO9+WRrY/xBKzZ+cXCCdhhB4HswyNJt+4NORp6+o8s02zj19j1
gEE52JLQQJ2EXVvMjRwyf/tKAgxdDbpRqQGVgDRh+xENowbUNRoYeOpc2QGgSeQdIxza/YxmRw8T
vJgiPmZyR84oe8izqG2qSweliUo+EGBB8t6fMYFxOLCACcNSr/4BFw7UKZ8GoIM+9Q6k3w/7hJNh
mA3qSlO7IDZjKutj/GUhJFUA3jTw+l/422gtoUt2hWHWHT0+oaGzrZgW8belftjc0G1pBzCNgQr+
kNr02VSdNTYdPGt76YXPPdw++Eu2ycFQrIfBinc7sr9CmWcAGJ6TgOTJMt53gdsDsCuQFYApdxez
YoZoRhSRaCEmxBpMKA+5znzzpuDHsODh8fBtu7RXv7LXjQTjU0s8CgMaUkzN43e/T8Ji5M0NlnIM
bspuONNBNro3H1ovA84vUpKY1wBxQ1nRGOSFom9o5/0nQypOFL0pzMJBuQUw12Gmon24rsmTVOGF
w/4/ovHwgwAdA06UBPKuYINkyeabwlNC3Wsfka1T4tkndUSPRKPaMj5aoztNWMoZXBU1jeJJMxw1
quZltPT4XLnSL+uCrsi8eF8LBk2YR+IM2mTIqK0A8FLzslZJAvWkXno63yq3mctQzdOAA2Z7s9QQ
pPvwRxDVnnHEmiOpCDol4IQ2f760rejPXBMkSHWwazT0Zl5jYO0i3EEi/+tU3JwivrvHRKmOYQS8
QM/LK6aeEVjAqjO05pufRq1zuq/UPTGU0+9qDn9SxOK6veJZbk+JGn+DC6xPW+SuUcXJMzKMr4E5
VGoef1qiJduigF96NXi3qeH1YYGzXSFYOc4otBu3ApqMBqBZI2wcAeC2gAMCQlHJrVh2os9z308B
SM66PQKJ5wekGFvmK9Pfw8fLv68W36vP41Ld/u/fj4R2JYr47VHeMGVN3wxDxWcHwZ9ZgC8+IJxX
6kASKc+V00LB8s9BXcJPnnAVAK9O7TyK0nCoB1DoqKjiSoi88wP7DKAwQfUV34fmERIXJX9NPAoK
SH6/IDBJU9RtErQUm+rozdDcLnEn3JCQYz13X6D+sdcBgFNEs7et28HLh4/5e4qjt0Dzn2PTPPRP
sH+ELQIDz1fNneph/9DY3damm1+bNWbvQVL+Q/kQbzYvIa7l+Pc/6RM/ua4bn+HL4kIf3GlQBkOk
z3EECtEfdfj+//sjjr07MfHHaIPlpRtPYe3r1+jxAqCjPwH2+fIASoSbpffKS/pLuK3lUjtgaj6/
WMLqu+3m+L6EIS7FcNVBg8K8VJrTkwq8t07tIUtFl5xXocHi73F74zPNGuNHF3+vogtWPN5Yh323
aeP48n8vblHJZZEJoK642Qt0JuBRJnQ+oZRHX7Wy7O7H7MhNF2S6G9djw3T7PqDdrioXvrrVa99x
ocqdqjV84kkr7ixYPsyGD5551j+OM3GvEW5iedHVp9p29zptUZvRzk2HLZDxjQQ9Kr0oc0xL8jpE
XTVA6Vd/fKzehLbdmeJ6mZPaVZTGJmkPO4vngkVJdYweKFMMbqSYoU6OslXmxyBxECZj94mC2blf
eFQqFD3yTjT+jwZl8bTXHXYp1EzTjfscfN2E7KqZXtow+f3vDg0Aeo+a73ujehRVcUlBjCIxrP+N
A7lUQaSPRvjyaGfqXf+9zHiI/vfVvz/6iADSphmOPsywI1k5BwoFEpl3yzvfRH1LONKuCOhDbukU
Ad/z1AHVCA8wDVs/AjM2YKKtOTE6F8IO9tKFkbn930tc4aHW5vH76pOfhD4Ykf/vpX7gqSv3biO4
4ZP+V5EHGTthNMJtBoyGIkORasMogIplu87zFcxSYYGW3FVjH7/ucGE1IsfU61EkijiIcaBRrbiy
bjqikl4faWiiM5mEnxT/vlwanXXo02YTx4UR/tqrDZsgDogI17FMw/SytcDv9LB15/VxTwth1Rdu
ERpKnyb+JVl3/yLJ92DAzQkFX9bqHQc7SbGW5xcMbOBY5OOyICBVwzXaLlulde4RmLOeC7ysj7R6
ikN4ZzsyBx+nzb8kwTTzuUNb+eC1wxVgvf0vCKNb3FH20nv79z7YhgyWjveaYH8Dnp4UndtJGUT3
GP2hD/xyFpUMt14jeLmdpJ++sh46qy3qEsSCOzZwThPNf7lVNJcItXGECxuiwio4LLrZTgsqBJAN
AmNMN/SPFssJV/0At3M+fRoGnRyDDkq8Q60vi3UH/u7xPvx7qT0gONa4w0Q9yI9HWXgJ2A1EfXCi
jw54XcGjbRrU83x/n7IWfZWDmn/8b7No0R7YncIBL9sPJDDwCR63wBgQBbm3D0v275P39smmi2wY
PsIQgD+qROaC7GqcjsHofyg0kxB+hd0zgkZaaCxJKCJmcuVCdMSVvkkiRZE44S4eejfZ+nBcJ8Sz
QE34BaxvdfEDtF53qV0uAw8VYWVfAZALQGZR/Qpi7uRcjQOc792tF8TPOImbCwFVsdq4SeuxHNid
jf748r+XtR+emrgHPqxXIADmeYUH8izH3YOf3fBy2vcfbGDhcY4qXQaQfnDK4uduioH0enYFMbwP
132VPXYyd5JD2H7ggxLnOiDigE5Ad2yNf17D0PvIaTdHl7oxe5r0lby6fjTAFekPNawwCFm4Indi
byOrl/chHmXOdujKmYaffjOiK4gjlepoKXGlQP/NjxAbIVloZmI/YgW7d106MC9t9z10IcunaWhP
0Sw/mnDHFRBb8G301+be4iGqcd/L197SZwm79lT7SHcStapPCo1VkG3SB2ByWb3v7SXckxaDaIJa
L27YAWmOPyYmMcd9nY/UhVmPy1ZO644ZCLg7du0eHRmrF5SotiBXcRw994bCE16nEeatGUsLEvze
AvK8o0SCn8V6f3CF1V6ghgDQBSNCjsi8u45iAJcUT0H67zom1Sb1M2w9NEphdJV7tEVvY+NYliSo
bXVbp66GdLwcmxhSqXMXigu4CixHhFpy3u4q+UB5cb1pLyJZuwIT7RTxr1iFExcfs9eTG4To8hYS
i6F6eFm2JChgGEGbMBGh1LOt6ujs5Gf/Hnu/3S3CtflXROboG5V/VgvxG8GYHgBd4HYfdOUCgJDY
JwRqcp3EoNvLm3lc8IAeanD53+ajcP2CfVxXBOPwDaYrrMRqnUDjiP6J+qDO+9BLQYBtPxmQjyDk
bTE+RglncU/UDml3xqPZVvgW6yOPWU+iU96zJvMfvwWWNdShfx2b3oNiHKNvgVE3geY1wCxc20BR
XY1NhLYHd+qMawP08y5FWxAQNiD9UTSI/PlvPIRgsfBb3jZPdzeLGyOOYxe+LgFqR9Oo0Rfql+oi
1vDUsPZfDRlG3oLLTFji4XaYPoKM1xwlWtYUa4Pqfw/GJEWFLMj/fbBVsryG3ooevOn2S8W2sER5
soNKi8MCG3aFAhHHCCwsuYpw04/NATaoN21XR6HAJKuATEzD7ynAIV9jCPi3Q1nshQco4L+B3/Bc
yATXlewxugZzUp18oUmGxtEOUbyiALFNKGKL5keNGy6+9TUMbIi/+BRjPsm8JfRx5wNeSCcfkTB2
aPm6AEp6SiaOgQtbH+Fhi6a4H+V+23pn18IhH3CrmhO4uMKHJfhv89/ErrJowjpIWqAWNbf+5d+L
C7b/x9mZ7TiOZNn2h9rQNA5G8qUfNIsafQoPjxciBg/O88yvv4vK7srKSqBuo4EE4ZIr5EpJNB7b
Z+912H+7WY4I41ImJzKiT18Lax+aw1c8HITD6pA1xLWgI4UtXmZHl15IK3E7qXE+D8thbJ3Ga5E6
LR86A/toe/LiRdJLjPiq0O6UoCYK6AzduNA3q1FTtVfG2dcURtmFdEnu5Xh9Vo2hNE7SMEOrq3ou
sjgoLNJ++7Rp5utULGX0ENyB/bj7IpDmH3ufBgLcWw78Ygk1fgFuYF16qZqnfD7UiurvseSMYeNZ
XVttc5ne/Mlvj5YxIAyG9XjVhhg/MUvRvm0dZy/wvWqrRT1GDqMV42fJpkvkdOiC8lzhB3jGAi7W
JY/aBwY+9DrP1T6v1CoFx4kRPm7P7qgG9mLpS8bCsyHQNHyhoKl2aT2HqFMKlk4/nQm7iH3pN9aO
AIj93DssEHOy7OmtiM2mCjdK6dFeT9Wm9fuDWffhc+5TPzSki4vYXs9VVJ+b2gx3xkK/+OOVj9Hw
bVxWQOy799nSqTEnNjigI0JAO0uJJ7AHVzEht7wux422nDKSIMchXW4aaR/uJxFVa6wm/okfKjzr
yaau8hjsBa5maTUdFV8Bu6zx8W62iIKRpmPTCOa9KjF9k3xOzrQ942NQ5e+FiVA5ho7hxZmKzzwj
29+qNK+anfobO21HwkDZF4ek3IG0YMrWHwyOM+GcL/05uMQQvFyVnvvhY5g7+2YV6BcaSmVAUO/2
OOdsvZSb2G7tiz+YuRdq+lsd694gRu19wFC1azvzhRBtfTNRqnWlwHxRla54aeNdpVm6qapicfGS
FclwIMss+JbNEwwnN50PjlZxpnLCIgjG4/nxUxOeR/VjyQLNKohupL7UXVKW3lWCq6/KT2PqS2w+
/3M39jjATGDX0jFjGz9a2zipM69L+2Q1GFaxmTSx1yJlXFVLY4ydgnGIe9e4y6baTWzOLqho+6aK
y3O8MPOIIPgnu+4Opl1T8sC22OR9nYDXC5KLwCPIcraZjUm9akXvnAj9qHWEjv0x9faGa902c3P1
5KBK77uWsECtypJ+ZeSfJ6urTvpc93cnLrKjQy2/kn3Q3x+HShqXQMs+tXR+MjObnjfFpSvHe+rP
/qmfGjhUFk4bdypPkWpPRWzlpzru3CdLDbvHxWCYq2rzx3e1K8yvsM1uuuDrINskea0smw8j0J0N
XmBzD/8zORquZW1GAFD4mifoRHW3dsrBOuldClln5KyeyT6dilLSMncbij/oedgl9fw5LmbxgfpJ
z8JSwV7lc7z2M8JUVR0vSao6uD4OypDBtQ3MyauT+kjTVdsUZQ3dJR7gfkbGiFlDj8UTZx61ROI/
uxKLnuzw+hb2XNEwJDMdV3LeiMAVW9FHybNhvqYA43B4K66H0IJauqR7vXAQU8oqoYROTHnqJC2f
WHKtrhGdpjgs/F04CbWzWbRX4fKdJgMLuAEExlZRdtRB3XhzNKbncTmoLv1gURi55ETJqbSLaueW
M+FufBivE1VDZ3W0SEen2ZVD5x6I3TypRvqnTmcHaGK99hqyp6to+UvGYsKr7OpbDmjuZBld+BKR
Nl9XehYe+r4HZIN5ao9lCGeuZpNjR2ra2SCAsL4a6X1Q5rUPUmtrhe60q/0mvbtSXR8gqKQfu13U
a9Mp6jBtFZFp79uEnoBKGxhrdf6l6qohOFpW6eCr6It11qbFCZNYsOndeVgL9k6rsmv7XYlymhd6
ds0yq38i9lTuFzQM1iH94kfWExJP82LMaBlRnH5S+g4fCdmkQaQpQDyXKys0JSEn9l56WnlycH/H
k1Gf27CySVzQt6K/Ox9zH6dZVstwIyenupuNZu818plerUJgF1NgoLyLtYjz7Jb7lrMRsQ6wq3ac
1eOldwjayJRpuHncJGDDipaH6Lwt1goMSMnGytkYdopYE6/pQuYYuV13N8VgmadE2gX5aQMrrBJ4
p30DbqrtG1eWXdAPFbDFPiNmG4+iufctRDEjIOlRtu4Xw6SsaNntbeTs4E5YHPVrQ6/VmXJNnS3D
j45jmL2oqjgkvhvd51wGr8YQcgFqYrGXKZbBQs71SQvbaheGFv14R206TY++4iIFTIFB8zqN4nus
GrHNLCu/D3a4fyyoAuxkItWAAPFUBoF2UvacnEWoLljdFz11+b+MCJ1YXFM2QmIMmTujeX3Qlar0
OLijeYWUZJ7xgsGZsM3gYuoRvX2XbjGu1Laa7qZKjFvifPiWoHqph7WtC3VIo+4qZYZi1fI3CBDS
dGH3gqRiGN7UnMosVqAjtY6QxZPW9XRBF1WLXcsKxURcZde+uKWfsGBaXxs1zUcrJHXMM/Y0yo/s
a/3NHxstPa/XM0IB6Rc32NdOung23Ww4SPqWp1F3uKixTiMmg2s05m/TDFbjgYHqdPdeGlpwynwr
9FRKqR406qgH6WfV9ZvAivFJg5Bttlaa9DRsC/em+1F8cSMNAAdb31rvATOY86FxceVgjC82A1sX
78FtU4b9Uc01nULS2NumctozxNEvIQHIa7wcVKNuo1nnXgVPxAiGvWGn1o0TYAAxtAiZ5Pgyr2oU
kmOlfjV6AW4hGcKX6UdHnGOX5jxSaN18kqrb2j3XmBIO59RK8aUy0MhgPgX0QeUXv82CO5Ck6H1t
oDefqlpPdzqmg10Wg856RJHzKQ8vHetamn+3oXu0Em/lupGRc/vzZlaZvWeCZvqDfJZovbsvaeOS
5En9fajWedeWb1LHe2sJMW07IC18oGazNrXW2esuF98mwZZcLAVFn1QBKIKY1GtUvmnB7IkwxhWW
viyO1SsB/+j+OCQTBYFKSuNEJlm8YQ5aZdpdtHb4A2ArLdig+dQTsom9SKyDLEZkNnMfDgH6EYwr
KALE/jZ+TjZTCbfaFqL3+VxKBPd56nrP/6yGovfqqm2/0qHmXHW+2g3B0zL1sxfXKc9KC9mH1/m8
8xPXxPld1QdL6+unNN+Mtlz2KZP2UWgGn5cbPTsZTX676V+TpD/kswBmV2EJcEKr8TqnCrjuWNOF
bVewC0zwcL7qfA9TOGEcG6qhIeqvddD1Rx9/1S1ic7xOUxd62mjOpyTyf6NU4Rl3XUhrLJosxvjP
ZB86eIe6/CpGzxq0CiwLoGUhUnpDVMNiJUz9bAqYHplU33O7mp+tyLiCWTVvEme/hIr7x62UgKwh
02KnQSf4OufPSKj2R25piKljOuyMsbE/OrQh2JPWG3oaMVXzHQxevy0m23jJYqiGgvb5CYoBGFh6
nl2Ufhhiqo41IZ5NzvqeQ/l5EeSgNo+fophG4eOnAcmPfO6wNVtsyrEV6U+PgxnVOAZtXEzLXd3o
pNelL1srhyZl1Z4oFrPnNpu1e8QVu4sbgKZcwamW6wngQK/hE1sOswtgAC26XVNTPA0q03ZmQv8f
jl2BRYdIvoNn4IzFyF7FJogGNYTuMQtnSZKGHUE7GPR/xXApnPEsZwydpk45NHZHNqfxyVyqiWpg
2+PWyauCePQBg+SdnLGgGABREcm0vSQT1fdAf/6Qgp3eWRUOdgNKClEI+7MiYnPvKaXL4BfSY/T0
ONC2NQ/h8oLs3HDv2u/RJvIZiaB/sgwyiSGK/ROuZXaXS1WWjPBVCjmu4iDOfiZ4YdHYm+RWESbY
sK/9ORSqfO1Ft8UtB3w69V3oYUrtyDbeLZxndtp3mJqLzay5n2OT5WfDDsr3jdlRTGFYdZ5Vy5tY
jiAdiuUkKZLqie1V8KPvqcdqOFD4E5q9bZXZWxXTucdxILFRR5gKwVVoc7sdR0FoobEdic5oQoCZ
Lb6nAfiCdsL+kfbgBnucg1vIq9Z5LPGfJ3b1NSHdtjbCzxo386mmQrCa+inXyP8+6uC+aK7QkNkA
iM41MW+VigslGy7N+U5sGduujesU7c3f9qMWn6rRjXHT2xiNB1bpvsxO1BwnWkI7GLHuMVzUMjmH
xeFx4WgiLC4+lfc2FYXXp8P01dTydt1kLu0OiotEQGpuZm3i2o9PbzZdjOcEyz0iWDp//1OrAIUM
o1u/WrglIZtkJ11mAhb3VlXBsEo1/ADTVMhXm3DSNm4buXvc7PUchlotX8BwwUN06KZb4ej8qMr+
Fhl98WVoynrfCAcbdt3Gr6EzfTcaaV2bxMpW5M/MazaRbsrx1ByKGcvepivGdJtM2oVeMMmQRRet
iqZ5WkAy7Bu5T1hB8zTqKvVgEwEmi2weErTi0Gd8nJnozro7ToAF0UKztLW+a/H0g/q0em5xNbtz
c2O5Kw8APDOsxGVza2wWGDFH5T7T0cYRokgsL5Bxs2FDBgyZFOKE8jzMzpdYGJduVtnPBmpWYOo7
kEDaM3W7fMZMgc1fw3ltunQUbBgDT3Wx2CArN/kui27fVxSNmkH3wamT+dybNqGj5W3N7PHUO0CG
DCx02GE7fVca1Q9iISQDi+DI0uN4IW3eTTDb/YuGblMT4n2niYuBRRKRD5pYPyGxZNuZNO59LD8d
WmBrOCHDO0UAbGrbrsy9M/IBR0XR7Tq9iC4AjqKL4xd0Sv+8bXTxS41ocXjc9ef9j5+KsKWnIsAq
uZk/7IDZWKSbtPn658FuAG3byv8Vi6A9PO4PVT/SJJCfmt4m4jAhQp9G3MunSTX60e9M+QyDtH/r
vtc6DkESBCQ163a6807TrXO0dMWqVt/8HGSS27rR1x480iYIzeQoF15+3TYHQl8HbaS0gIhiPfu+
f+HiMH3taYRSZ0jgY4X7UsRYeXTjV2GQqwi0znzTYy7w0dAclAT99divYsk3j91o7wr6tpxuuOYa
F8nwIUpUGtyPiUzMc2WI9inx9/ILfOruZznJfq3HqAlSFekJKwVfBwUXskerexwGbYSzgcGWN/wN
WeDoFp17sZeD6LVS24yN/pvvpQl2Xy+0zR+/ISG9bwaNIPg/Hg3uawYXMFOG9E15H+35F4KHfnzc
ehwqkNEHLoclV5pClsSh8HLVajwpWRcb0yB12ZP8xT5QGx6y+VOT+ObtcdfjkBah5OQHt/Mvv7D9
9k2q6laXoLedNgwvYjYCiCvpuzNXnddrvbnl3Z0ptPTfQzxVH6SXUP/nQB0rK8s+pk269C8LU8mj
XZd3ilWUYVs3nxujZ/c9S/MLjhm+YUIr3yI7f55rZ1d05fRtUG6zJapNYxte3xE23W4i0fsyDwXX
aH8ydo/qOs5PuKTXRRQYXptW+B3bVKzSqfYlSVGWdLSqX6YTsgPT8/YQTNgk4Mj9hmO1BO/qArqN
Ub9rmnYUAfCsRhYvEFmatVFyC+QoTW9ATbTQZyJjq7g270kcrCvN+D2qd6R/tqa6He/TlhQg9SXW
ZDM2MMz3sWfoWKeFVnv2kj6mpeXiI0yXNRWPqo2MUIcfbCs0IvkWcrDZ2bgCDJwg/iaDh0YQdK53
Iv5h0Ak+GJED6I7OOKaVTWhDUlUx6XOXctPBM0dzm0BHCUwRNEtx0ozm7g8tlqYmLNfFhLe65QQp
Bn8hBmIJtoSxmip3XNFENta4JRM4C0s8DZUO23v7pPyKZvjyD3OQn0gUydYVzs98UT/NDlM+Lf51
J2u4HWwMt1VDzRaG7JGH4NeI/m1RZ67JB9OlAVJc93l1JXEF0xh5z3dvkyFigJiOc9RUcoxMkCU0
QEsvtYy9A1Nl7dQViJLxjIbZ3zLCa0VsVquqnFuCqbaOjzALt7PF1rrDjubKBiAmgRcVU0BxJfse
+Mg2AXosVogl+mlOHz72t1WuyfIylViVA7PtDy1x5HQgFooA6Y2NmT3NLctFRD+3NJHClgi8a8bH
3s/OTZefq6AZ1i11+mo2DCgYEddI9LfNxPgkn4kj1NQAdovg3gnDPWsMGCmdDqBKzy4/KklqU82g
WGrjKuqI8YY2tvOuOMZS2xcjg09MpxG7wtLA+kRjxYJPqMuCRr9us+qbpgGQSPsK0Ite+lvfLHkE
0qaQ18hOynUY4GFVuKRHZZjfhNavfbeJ180cAw+WzTHDyXEoIhKavXEP6d2+OaEidzF1aG1Y1w0b
06LV+ne8wojfC1F09sViveKKxiZopyWDe6x6/YYGk+5pRq4ESP6jX0TRsa/EpmZPs3GYM0DQC/za
nAIBmXznI6yzdWsa7XaYTfsQlZsw/PTJjT/7EC6HroyOcwcrwHT4X26JB3p5S0YhiOUqXWzfZGWs
lvgUENpNn9vJeYDIWActcimho2rqwL0E9gi4lfbztKqLscY9kTxDN6BzlfW/wNh9A8IxgVA02l1Z
jbexJCRHQDRdOJYSZ9ZmsscPxwwhIya2s7icPcdK3jDsmVuIZ6xFPYXrYH2yidrquvVL4YnYuGqm
pBl35pzIndE37dIkTTaKTfBK70qTKFm204ze9/wK02QKMI5OH7hFEIS0+maKOCN7SwSt49wIPkio
IjUWn8xjMXf2oHc3Ax+pbUJLnMv2k8S59aVkoSxcYz/P/nucERatJxqVFkFMb4z0D2EToyuUdQ8i
mRGaI4AtQvMzsm3e6VB8cxFKd/nYHeywfyqhClMWp7ukJmfhSdtNbi47pHJ2z5Jt/zcjbPdxG9tb
ydoLKorvm1l9Nk7/6Sd0IZkZ0q37gJkY5VTtQQt8D+38x2ilCwhkASNBXV+HuLkuxXIqOJohtxY8
WUwvfX0EBvw+c1nuGTKx7ezXEv3gZsQQ+AMd1AIU+50eFuY5inyM0/UIQIWJNVwAWKr0ErKNAe+r
wqetJhIRWp+mq6ZgZsRgMsmgXzeq/MFomGtkqPIOWR3NOAZwhKoBKLJOfjUL2EfRR0TFldVG1jYW
bOvYaqLzukHdptw8lxIbPD2iu6PDKTfdOTq2uooWe/eSV6bkAAqK06C/dMymWiUx1m+tz56ZoEPm
3S+/9RU+jKkiBOrPfbUJdX0717npQT/E9ByfctDji5vnOtr53e3aaFuq4JRU8rdA+tnmQ3lIhlR4
9eT4nuLUQ9SZ5w0B/gFlp6bsKAaM3x1uZMDrvwXwR9Bf7qlqnQhPuvbON+m9iuAW4p3bOQoOitlI
m1NtyMGz8o41st4UOi4+s8CRJix4Il32C+YarMJonVcBYWqpg9v90pQAZdOse0kq4Xqtf6tqktbk
RMo1rlJcSBYdDDcBOTgO9i2tINJMwYAHjnVnZ9xFw7UDjSl4rl28kjoNeeo9/Wg0Ij0SMiTFH9Zn
Lc3dKwOfoq3vMKzBfO4CJkBAVr/MOuearKf4Ikbxe0zbW0n6bF9qjI+YBvm7zPN3lBd8UX7yu+z6
t7yev9azfjVCsuxEdEoT+zMV4UI6NeDeuGyyE0jGdfUxtqBpOm34Wk3K9mRDNm3gfoK1cG1TKsZZ
cu6ExeQ9uXNBI77V8kNmc37Y7YEO+9YeInni1HoB6MMuI23YZE0ECiDEYZ7fx5MYvBhLmBPn6gh+
+qzs4apw/3v4FOCC+5GXuSMTKgKSJq2ocq+Lom6X5XyXEtKo48Q+w6+yazKoHUGGX3Og3du+vMmg
0C9Ok3hVHRxUlMt3Z7GHYNNJsUtH31w34kVFYhPzu5fBD3JEK5Z1PHM6Eu6qEFG8Gw1fu+rT2yQn
zKXh2bI1zIkFa7BuEFHSTfwi8NOF9kwOj+w6aejDGOU/XDg+sejsrdVma03TUZv1ot07OpVHJQZt
7U8B/rLW2nakmy9myf49Bwelah27CJaRvsg+kQj7a9/ibTWZoYCAtXaXOD4myw181qdZMf5ituOn
nhCYP57n9kdeMkQiU+auybR9mQbffK38lVsjbiawCEjvcCFkfM01MznQUFglYi9Eh8ArgnSrk7/Y
02l56oX+BUpd7BQ/9Lj8Fo39z3K0cNYQydkh1g6YmafLUIOItdPyN4m837GRP5GGIolAT+DgjFSE
fevS3nej0pNjXXrUTLSQLxX5l1XpQvgxauYLYES0dg69itdy1N8ldGGi3Hm9QV1OfcDbeVL4RJ7n
Z8y1JKiT/JBEgEnD3nmKU0zRbuGCZAJGsdWdAROYhYPMMrt1W47HrEedtSXzYXwKwefapHcgNXiW
4yaJiZXTunqKJDiEDvl0bVnBqa0b8ziIfq8ae61qZz7XWYK7qnbVzSpRb+dbiEn2Vz+IJwLg24Fx
NG8tK1e9ACh19crXurlW2OznFMqv6p3d8LsNZLvVTaAOLS6SAqdw27vlsdQJq5hjeI6bgkMV7G3i
sTN5rYtLcbVqk575FqXa1VYGoFFo352glLcy87Ub+O7WEcHBhSHpyTzZ4aai9JnmL+EMYbQ2k29E
fsSLKZv2GGB2WY2+em9p220SXz4jICjMaFZ6wGliHabGAafASBybs+RAoxa6cQmZxDfG4ZaRas2y
1vDYLv9HONAYMpMFodLmO7CWw7EiixoHTPWZNFQwGHMRoXaBIGINGNUZE5MF5ZWon/GqivLU29Cw
RmODu0c3sPOO8jbmYXzII/vIXnpXpC7NFVqZhyBhikIxP6vEZyNvojlOu38/P0sqpmMVj4mHyyhD
9CHH0BUkJVfaugX5bvn9P80nw3hlg98joF3PTJpxOsA5YWLaW4eJOnS/8JXYXBExDQb5tuGtxt2M
QyDvnBd9sn4EzdrRI4OmGc6TJBqv//7V6X+b7eUYlsYfkAZxSEUL9q+vDlQMe5+p5dUFXDeSeITW
H6T+U2ftCBfyVjZ2tLMybZsl5vQsjRZnQ/RuyfDCZUfsmhKqHurbmeiABM3CSpLrKMuZODD+Q3uf
yfGQRS7/P0PJTLkMyPvLu+o6mnJ021aGptnIaH993XWjQP+kHei9R8MEDm1yJe+N/8yd1BmfVvbM
4vSdKGl+mKmw/vDEwMuBDyZMJgeRnqNxbQ3ocPW0E1OtvMFxG68e+y1upOTV1JPXwJ2yXYBvmKZV
t2MV7/A7ZtozEUftuSPYJRoYdDNhbaZYQEbQKgdIY/ql16z+3OXxQJa40WE/WOHGakGCElYCBmky
zqAowAv4TnTG8J2dgmIeNxUpCgolY9v5VXFvO9m88AaYgLuYACFKQF9NXNILlyiUqZZHpwju4Rr/
nEV0cohYskeYNG0csSpCazs0YLlgyJF9qkrH4dO1oLJVxNDZa7WnPodMlERyafDC3SzcbguCjbVB
T1wvIBAIcRakLc+hk3PSxT4ujOYyqyLcm+EUrMPUbHf46SvPKgUM/uXwuAlG/UuMj3H3511pmIc7
tLMvsBroi7UJMhoXCeZRLf/q8e8f/9QOFXMMmBtj+nN4U8uhyokA63p3nuuSCEbB1lSC6d44U057
kzYTa4D+sxoa547hf1UtYmIdDM4L6hDDPSSwc53dT9K3E5B0DmkDd6KzcOYTYLs+pK9SGtNR9lhJ
AoSM7SjylBK8YxRJpKMqFGRzHwcl1Rt+ZHNPVirekuYpIK1U9sFtxM8m7jNyyJA+GHpZeI+bZhLd
JtoxTqON3pxlz11rVQe0WnRUcZ1b5mLNhn7pXaygEMS+SmrB4xQaENtlGTPRAMz+2EzqSa9LrBsO
kx7ATvjnxyGvUiAVdgPW1AzFOdMKamKtZXIMddZTPZTGWwRQ0RXx/DLnuY6hcNY3AbWUDAP7W+Dq
A7ktEChGwIwefaTV1FbDWkVMrklRvOlx4vCf+Czc2bzr5SVxXOfW6oV5b6arnZhiZ3Wt6zkjhoKh
bgHXGmpkS20ZHtNooLyX9XS+j3wrz2SUa1zOVgA/oKnbHS0Qv1vNdmSeW/ZlYmmWEvVKvYcPk4st
Csx8GkWQXxkoVtE+rD+BjjLL1M5aMhnlWq8G6Y2GS5ZUn8QzagltUdTQNRJljFDNOIW8kuM6Wc6T
djk78q0bqPTAJL/ivS/zZBXQ3jLqrHw2wQrCyZgZpbCABOgouWeLAMR2YDlnolYFGZ8ZY4B1ta+O
BHxh9jrxLDjW9zQgLVDkhb0J1bKHiVJofY2NkW3OmrVtj7WnE7ddMXmhyRrosrVDkDrGX0E7NvIm
J/jVcIXAnTKd59nEyQurXtcrBmWo4tg6cX3U3ZLSHPXrIKaouUZ+Q5a0wEnmVy4dk+W+mPWG+WVE
T+rGYatCCY0D1KkqPldhnGzhXhk0l/Bqy/CMh+KnbyUjzewLRYN59k0L+2qaf9CHt062PwTQjmoC
gUmTbWuTSOTE3tNfJsIapcn2RMubbcQUrv2Y5RgwhPzETTF9DRdcultkJmzBgQYOjODGGoka4wbP
sFLh83Tc8DepXf1A37I8ZlAkNwPLzbqZBEzPQSvvsTEHByKzJzt1m5sR1RbFapm8dSGniGi9wszS
M+bCeNc3jnYVNjKHU7upZ9i4eM1iuBikwImkGgx1KWLINpOXOHH80S0A5ynpbMYYSFQN/A7E0fFy
6H7345EDYuDrvIrFO+MGRhhVnjNhCoIfa3VfcPueENzcg5uN9j7S2t992GdPUTpW11xq9qo1jO6K
g9HcTq0Rna0hmQ693n8UPcpHPxAWHu1xkxHMnHzVvDf518jEshsY7DHqIS2oTyBgpv21tbqluyKK
PXGN/uYo1/NDeYkYoXLzfVMcp9ypGSgSrjTfoHaAmnWllqIjN7PrkEMuyL/V/S4ruuUNXVqVBsE0
wTAF9H/1q4QtdI4HqFFtEAxevRxMFLR11+vWFpoJV1C7kgeabdnrDJ37YLPhYDYQpaLhg2ZKdRhD
oDGPEfMxNgK54IfoDyB28hNaTbXPLH9eBxNuJTR+nNZZdjF5F96zwQdo6vujR6NW/2Pi73/+ZaDu
HwOkfxblVEcIh/9y879ei4z/HiO8//GYx3TtP29d/mf6+r991P6zWAZoN//6oOXV/OO5+Ov//eqW
udt/ufG3CeD//rf/mIu9PNFjIPZr8ben+F896J9nif/9if6PI8UfT/QYZ/7vnuD/NgueIfP/9Cb+
/SU/fy7j7v9XD/rvz+Nn+vm9/q//BwAA//8=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2723</xdr:rowOff>
    </xdr:from>
    <xdr:to>
      <xdr:col>3</xdr:col>
      <xdr:colOff>6625</xdr:colOff>
      <xdr:row>24</xdr:row>
      <xdr:rowOff>1</xdr:rowOff>
    </xdr:to>
    <mc:AlternateContent xmlns:mc="http://schemas.openxmlformats.org/markup-compatibility/2006">
      <mc:Choice xmlns:cx4="http://schemas.microsoft.com/office/drawing/2016/5/10/chartex" Requires="cx4">
        <xdr:graphicFrame macro="">
          <xdr:nvGraphicFramePr>
            <xdr:cNvPr id="2" name="Graphique 1">
              <a:extLst>
                <a:ext uri="{FF2B5EF4-FFF2-40B4-BE49-F238E27FC236}">
                  <a16:creationId xmlns:a16="http://schemas.microsoft.com/office/drawing/2014/main" id="{FFF96429-6A58-AD34-A054-3B2EE13349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932363"/>
              <a:ext cx="6315985" cy="3654878"/>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eur" refreshedDate="45347.644315393518" createdVersion="8" refreshedVersion="8" minRefreshableVersion="3" recordCount="1" xr:uid="{87E0C9A1-8892-4BB2-A6AB-E9614934AA71}">
  <cacheSource type="worksheet">
    <worksheetSource name="Documents"/>
  </cacheSource>
  <cacheFields count="10">
    <cacheField name="Title" numFmtId="0">
      <sharedItems/>
    </cacheField>
    <cacheField name="Idt" numFmtId="49">
      <sharedItems/>
    </cacheField>
    <cacheField name="Type" numFmtId="0">
      <sharedItems/>
    </cacheField>
    <cacheField name="Country" numFmtId="0">
      <sharedItems count="1">
        <s v="France"/>
      </sharedItems>
    </cacheField>
    <cacheField name="Relevance" numFmtId="0">
      <sharedItems containsSemiMixedTypes="0" containsString="0" containsNumber="1" containsInteger="1" minValue="1" maxValue="1"/>
    </cacheField>
    <cacheField name="Key informations" numFmtId="0">
      <sharedItems/>
    </cacheField>
    <cacheField name="Related query" numFmtId="0">
      <sharedItems/>
    </cacheField>
    <cacheField name="Year" numFmtId="0">
      <sharedItems containsSemiMixedTypes="0" containsString="0" containsNumber="1" containsInteger="1" minValue="2020" maxValue="2020"/>
    </cacheField>
    <cacheField name="Cited in - name" numFmtId="0">
      <sharedItems/>
    </cacheField>
    <cacheField name="Cited in - id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Le BIM sous l'angle du droit"/>
    <s v="001"/>
    <s v="book"/>
    <x v="0"/>
    <n v="1"/>
    <s v="pas de focus sur la sécurité incendie, mis à part le rôle du coordonnateur SSI."/>
    <s v="Interne IMT Nord Europe - Cours de BIM"/>
    <n v="2020"/>
    <s v="Le BIM sous l'angle du droit"/>
    <s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4F72FD-977F-4FA1-90F8-A303AABF49D3}" name="Tableau croisé dynamique1" cacheId="3" applyNumberFormats="0" applyBorderFormats="0" applyFontFormats="0" applyPatternFormats="0" applyAlignmentFormats="0" applyWidthHeightFormats="1" dataCaption="Valeurs" updatedVersion="8" minRefreshableVersion="3" useAutoFormatting="1" rowGrandTotals="0" colGrandTotals="0" itemPrintTitles="1" createdVersion="8" indent="0" outline="1" outlineData="1" multipleFieldFilters="0">
  <location ref="A7:B8" firstHeaderRow="1" firstDataRow="1" firstDataCol="1"/>
  <pivotFields count="10">
    <pivotField showAll="0"/>
    <pivotField dataField="1" showAll="0"/>
    <pivotField showAll="0"/>
    <pivotField axis="axisRow" showAll="0">
      <items count="2">
        <item x="0"/>
        <item t="default"/>
      </items>
    </pivotField>
    <pivotField showAll="0"/>
    <pivotField showAll="0"/>
    <pivotField showAll="0"/>
    <pivotField showAll="0"/>
    <pivotField showAll="0"/>
    <pivotField showAll="0"/>
  </pivotFields>
  <rowFields count="1">
    <field x="3"/>
  </rowFields>
  <rowItems count="1">
    <i>
      <x/>
    </i>
  </rowItems>
  <colItems count="1">
    <i/>
  </colItems>
  <dataFields count="1">
    <dataField name="Nombre de Id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2" Type="http://schemas.openxmlformats.org/officeDocument/2006/relationships/hyperlink" Target="https://www.bing.com/images/search?form=xlimg&amp;q=France" TargetMode="External"/><Relationship Id="rId1" Type="http://schemas.openxmlformats.org/officeDocument/2006/relationships/hyperlink" Target="https://www.bing.com/th?id=OSK.IJoB2IAflCzjheZJfaz5mfzEWw5jRcoWEgDQz1yU2Yk&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Srd>
</file>

<file path=xl/richData/rdarray.xml><?xml version="1.0" encoding="utf-8"?>
<arrayData xmlns="http://schemas.microsoft.com/office/spreadsheetml/2017/richdata2" count="4">
  <a r="2">
    <v t="r">20</v>
    <v t="r">21</v>
  </a>
  <a r="1">
    <v t="s">French language</v>
  </a>
  <a r="25">
    <v t="r">40</v>
    <v t="r">41</v>
    <v t="r">42</v>
    <v t="r">43</v>
    <v t="r">44</v>
    <v t="r">45</v>
    <v t="r">46</v>
    <v t="r">47</v>
    <v t="r">48</v>
    <v t="r">49</v>
    <v t="r">50</v>
    <v t="r">51</v>
    <v t="r">52</v>
    <v t="r">53</v>
    <v t="r">54</v>
    <v t="r">55</v>
    <v t="r">56</v>
    <v t="r">57</v>
    <v t="r">58</v>
    <v t="r">59</v>
    <v t="r">60</v>
    <v t="r">61</v>
    <v t="r">62</v>
    <v t="r">63</v>
    <v t="r">64</v>
  </a>
  <a r="1">
    <v t="s">Central European Time</v>
  </a>
</arrayData>
</file>

<file path=xl/richData/rdrichvalue.xml><?xml version="1.0" encoding="utf-8"?>
<rvData xmlns="http://schemas.microsoft.com/office/spreadsheetml/2017/richdata" count="72">
  <rv s="0">
    <v>536870912</v>
    <v>France</v>
    <v>c7bfe2de-4f82-e23c-ae42-8544b5b5c0ea</v>
    <v>en-GB</v>
    <v>Map</v>
  </rv>
  <rv s="1">
    <fb>0.524475441661716</fb>
    <v>23</v>
  </rv>
  <rv s="1">
    <fb>643801</fb>
    <v>24</v>
  </rv>
  <rv s="1">
    <fb>307000</fb>
    <v>24</v>
  </rv>
  <rv s="1">
    <fb>11.3</fb>
    <v>25</v>
  </rv>
  <rv s="1">
    <fb>33</fb>
    <v>26</v>
  </rv>
  <rv s="0">
    <v>536870912</v>
    <v>Paris</v>
    <v>85584d24-2116-5b98-89f9-5714db931ac6</v>
    <v>en-GB</v>
    <v>Map</v>
  </rv>
  <rv s="1">
    <fb>303275.56800000003</fb>
    <v>24</v>
  </rv>
  <rv s="1">
    <fb>110.04856675289</fb>
    <v>27</v>
  </rv>
  <rv s="1">
    <fb>1.1082549228829199E-2</fb>
    <v>23</v>
  </rv>
  <rv s="1">
    <fb>6939.5214736692897</fb>
    <v>24</v>
  </rv>
  <rv s="1">
    <fb>1.88</fb>
    <v>25</v>
  </rv>
  <rv s="1">
    <fb>0.31233278442262596</fb>
    <v>23</v>
  </rv>
  <rv s="1">
    <fb>46.487970872236403</fb>
    <v>28</v>
  </rv>
  <rv s="1">
    <fb>1.39</fb>
    <v>29</v>
  </rv>
  <rv s="1">
    <fb>2715518274227.4502</fb>
    <v>30</v>
  </rv>
  <rv s="1">
    <fb>1.0251076000000001</fb>
    <v>23</v>
  </rv>
  <rv s="1">
    <fb>0.65629000000000004</fb>
    <v>23</v>
  </rv>
  <rv s="2">
    <v>0</v>
    <v>21</v>
    <v>2</v>
    <v>6</v>
    <v>0</v>
    <v>Image of France</v>
  </rv>
  <rv s="1">
    <fb>3.4</fb>
    <v>28</v>
  </rv>
  <rv s="0">
    <v>805306368</v>
    <v>Emmanuel Macron (President)</v>
    <v>35be5a56-7a78-6352-b158-60da8f84c858</v>
    <v>en-GB</v>
    <v>Generic</v>
  </rv>
  <rv s="0">
    <v>805306368</v>
    <v>Gabriel Attal (Prime minister)</v>
    <v>5f0b8fd1-c77a-cffd-ddee-9a5bbf7b40cf</v>
    <v>en-GB</v>
    <v>Generic</v>
  </rv>
  <rv s="3">
    <v>0</v>
  </rv>
  <rv s="4">
    <v>https://www.bing.com/search?q=france&amp;form=skydnc</v>
    <v>Learn more on Bing</v>
  </rv>
  <rv s="1">
    <fb>82.526829268292701</fb>
    <v>28</v>
  </rv>
  <rv s="1">
    <fb>2365950236659.3599</fb>
    <v>30</v>
  </rv>
  <rv s="1">
    <fb>8</fb>
    <v>28</v>
  </rv>
  <rv s="1">
    <fb>11.16</fb>
    <v>29</v>
  </rv>
  <rv s="3">
    <v>1</v>
  </rv>
  <rv s="1">
    <fb>6.7968269799999995E-2</fb>
    <v>23</v>
  </rv>
  <rv s="1">
    <fb>3.2671999999999999</fb>
    <v>25</v>
  </rv>
  <rv s="1">
    <fb>67935660</fb>
    <v>24</v>
  </rv>
  <rv s="1">
    <fb>0.21899999999999997</fb>
    <v>23</v>
  </rv>
  <rv s="1">
    <fb>0.25800000000000001</fb>
    <v>23</v>
  </rv>
  <rv s="1">
    <fb>0.4</fb>
    <v>23</v>
  </rv>
  <rv s="1">
    <fb>3.2000000000000001E-2</fb>
    <v>23</v>
  </rv>
  <rv s="1">
    <fb>8.1000000000000003E-2</fb>
    <v>23</v>
  </rv>
  <rv s="1">
    <fb>0.13</fb>
    <v>23</v>
  </rv>
  <rv s="1">
    <fb>0.16899999999999998</fb>
    <v>23</v>
  </rv>
  <rv s="1">
    <fb>0.55125999450683605</fb>
    <v>23</v>
  </rv>
  <rv s="0">
    <v>536870912</v>
    <v>Brittany</v>
    <v>809fb739-638d-2499-95bd-c8e5b10153ee</v>
    <v>en-GB</v>
    <v>Map</v>
  </rv>
  <rv s="0">
    <v>536870912</v>
    <v>Centre-Val de Loire</v>
    <v>6aafd8c4-aba3-0388-62a3-d302e77f40c4</v>
    <v>en-GB</v>
    <v>Map</v>
  </rv>
  <rv s="0">
    <v>536870912</v>
    <v>Corsica</v>
    <v>7dae6ff4-03ba-2162-da4b-d4cf544ad43f</v>
    <v>en-GB</v>
    <v>Map</v>
  </rv>
  <rv s="0">
    <v>536870912</v>
    <v>Île-de-France</v>
    <v>ba200862-fc37-6d22-3434-c6e709faa507</v>
    <v>en-GB</v>
    <v>Map</v>
  </rv>
  <rv s="0">
    <v>536870912</v>
    <v>Pays de la Loire</v>
    <v>a6129a88-a4cd-2b75-1a35-f5d0639f17ae</v>
    <v>en-GB</v>
    <v>Map</v>
  </rv>
  <rv s="0">
    <v>536870912</v>
    <v>Provence-Alpes-Côte d'Azur</v>
    <v>66cd1ae3-f633-45f9-93bd-73ca67bffb25</v>
    <v>en-GB</v>
    <v>Map</v>
  </rv>
  <rv s="0">
    <v>536870912</v>
    <v>Guadeloupe</v>
    <v>56b80aaa-d840-1a73-13ba-70eb9b61a642</v>
    <v>en-GB</v>
    <v>Map</v>
  </rv>
  <rv s="0">
    <v>536870912</v>
    <v>French Guiana</v>
    <v>328feb88-20d1-8674-1574-3ce8cc0bc9e9</v>
    <v>en-GB</v>
    <v>Map</v>
  </rv>
  <rv s="0">
    <v>536870912</v>
    <v>Martinique</v>
    <v>f245adef-ee09-9352-e265-2a287e5eadbe</v>
    <v>en-GB</v>
    <v>Map</v>
  </rv>
  <rv s="0">
    <v>536870912</v>
    <v>Mayotte</v>
    <v>545cc8bc-c211-076d-ee26-d2ff955eb394</v>
    <v>en-GB</v>
    <v>Map</v>
  </rv>
  <rv s="0">
    <v>536870912</v>
    <v>Réunion</v>
    <v>7d1fa0b0-e3d7-d903-d64d-489c03fd0a75</v>
    <v>en-GB</v>
    <v>Map</v>
  </rv>
  <rv s="0">
    <v>536870912</v>
    <v>French Polynesia</v>
    <v>340e15d5-6b74-8497-bbfa-4c1f323f5483</v>
    <v>en-GB</v>
    <v>Map</v>
  </rv>
  <rv s="0">
    <v>536870912</v>
    <v>French Southern and Antarctic Lands</v>
    <v>b9d52319-44ee-bf16-d95f-72397f26ce4a</v>
    <v>en-GB</v>
    <v>Map</v>
  </rv>
  <rv s="0">
    <v>536870912</v>
    <v>New Caledonia</v>
    <v>25b2aeab-b390-d01e-1f7f-90be767bd899</v>
    <v>en-GB</v>
    <v>Map</v>
  </rv>
  <rv s="0">
    <v>536870912</v>
    <v>Saint Barthélemy</v>
    <v>5c5081a9-306e-4f05-73a2-32b95a4b8600</v>
    <v>en-GB</v>
    <v>Map</v>
  </rv>
  <rv s="0">
    <v>536870912</v>
    <v>Collectivity of Saint Martin</v>
    <v>281a8fb2-1b63-4320-5d31-8f0fb46c4f1a</v>
    <v>en-GB</v>
    <v>Map</v>
  </rv>
  <rv s="0">
    <v>536870912</v>
    <v>Saint Pierre and Miquelon</v>
    <v>aa096cf4-a54e-cd44-7204-c28310ca40f4</v>
    <v>en-GB</v>
    <v>Map</v>
  </rv>
  <rv s="0">
    <v>536870912</v>
    <v>Wallis and Futuna</v>
    <v>db8aa235-58e4-9e3d-8799-6839f3d35025</v>
    <v>en-GB</v>
    <v>Map</v>
  </rv>
  <rv s="0">
    <v>536870912</v>
    <v>Grand Est</v>
    <v>e2f60e84-1701-6d84-e960-ba87138e3631</v>
    <v>en-GB</v>
    <v>Map</v>
  </rv>
  <rv s="0">
    <v>536870912</v>
    <v>New Aquitaine</v>
    <v>7955f423-af31-d2e0-f045-b14668178865</v>
    <v>en-GB</v>
    <v>Map</v>
  </rv>
  <rv s="0">
    <v>536870912</v>
    <v>Auvergne-Rhône-Alpes</v>
    <v>b53940d0-b739-faf5-78d1-93f189f878c9</v>
    <v>en-GB</v>
    <v>Map</v>
  </rv>
  <rv s="0">
    <v>536870912</v>
    <v>Bourgogne-Franche-Comté</v>
    <v>4bc8dff1-8d72-5341-f405-63c7be8c6672</v>
    <v>en-GB</v>
    <v>Map</v>
  </rv>
  <rv s="0">
    <v>536870912</v>
    <v>Occitania</v>
    <v>5105d172-dc70-689f-09ab-4163a747508a</v>
    <v>en-GB</v>
    <v>Map</v>
  </rv>
  <rv s="0">
    <v>536870912</v>
    <v>Hauts-de-France</v>
    <v>4eb2d0b0-8845-48d0-9343-9ba3e7fe81a0</v>
    <v>en-GB</v>
    <v>Map</v>
  </rv>
  <rv s="0">
    <v>536870912</v>
    <v>Clipperton Island</v>
    <v>15fb63fc-f501-7360-7d44-f26d1501209e</v>
    <v>en-GB</v>
    <v>Map</v>
  </rv>
  <rv s="3">
    <v>2</v>
  </rv>
  <rv s="1">
    <fb>0.24229980509910898</fb>
    <v>23</v>
  </rv>
  <rv s="3">
    <v>3</v>
  </rv>
  <rv s="1">
    <fb>0.60699999999999998</fb>
    <v>23</v>
  </rv>
  <rv s="1">
    <fb>8.4270000457763714E-2</fb>
    <v>31</v>
  </rv>
  <rv s="1">
    <fb>54123364</fb>
    <v>24</v>
  </rv>
  <rv s="5">
    <v>#VALUE!</v>
    <v>en-GB</v>
    <v>c7bfe2de-4f82-e23c-ae42-8544b5b5c0ea</v>
    <v>536870912</v>
    <v>1</v>
    <v>16</v>
    <v>17</v>
    <v>France</v>
    <v>19</v>
    <v>20</v>
    <v>Map</v>
    <v>21</v>
    <v>22</v>
    <v>FR</v>
    <v>1</v>
    <v>2</v>
    <v>3</v>
    <v>4</v>
    <v>5</v>
    <v>6</v>
    <v>7</v>
    <v>8</v>
    <v>9</v>
    <v>EUR</v>
    <v>France, officially the French Republic, is a country located primarily in Western Europe. It also includes overseas regions and territories in the Americas and the Atlantic, Pacific and Indian oceans, giving it one of the largest discontiguous ...</v>
    <v>10</v>
    <v>11</v>
    <v>12</v>
    <v>13</v>
    <v>14</v>
    <v>15</v>
    <v>16</v>
    <v>17</v>
    <v>18</v>
    <v>19</v>
    <v>6</v>
    <v>22</v>
    <v>23</v>
    <v>24</v>
    <v>25</v>
    <v>26</v>
    <v>27</v>
    <v>France</v>
    <v>La Marseillaise</v>
    <v>28</v>
    <v>République française</v>
    <v>29</v>
    <v>30</v>
    <v>31</v>
    <v>32</v>
    <v>33</v>
    <v>34</v>
    <v>35</v>
    <v>36</v>
    <v>37</v>
    <v>38</v>
    <v>39</v>
    <v>65</v>
    <v>66</v>
    <v>67</v>
    <v>68</v>
    <v>69</v>
    <v>France</v>
    <v>70</v>
    <v>mdp/vdpid/84</v>
  </rv>
</rvData>
</file>

<file path=xl/richData/rdrichvaluestructure.xml><?xml version="1.0" encoding="utf-8"?>
<rvStructures xmlns="http://schemas.microsoft.com/office/spreadsheetml/2017/richdata" count="6">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1">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spbArrays>
  <spbData count="32">
    <spb s="0">
      <v xml:space="preserve">data.worldbank.org	</v>
      <v xml:space="preserve">	</v>
      <v xml:space="preserve">http://data.worldbank.org/indicator/FP.CPI.TOTL	</v>
      <v xml:space="preserve">	</v>
    </spb>
    <spb s="0">
      <v xml:space="preserve">Wikipedia	Cia	travel.state.gov	</v>
      <v xml:space="preserve">CC-BY-SA			</v>
      <v xml:space="preserve">http://en.wikipedia.org/wiki/France	https://www.cia.gov/library/publications/the-world-factbook/geos/fr.html?Transportation	https://travel.state.gov/content/travel/en/international-travel/International-Travel-Country-Information-Pages/Monaco.html	</v>
      <v xml:space="preserve">http://creativecommons.org/licenses/by-sa/3.0/			</v>
    </spb>
    <spb s="0">
      <v xml:space="preserve">Wikipedia	</v>
      <v xml:space="preserve">CC BY-SA 3.0	</v>
      <v xml:space="preserve">https://en.wikipedia.org/wiki/France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http://en.wikipedia.org/wiki/France	</v>
      <v xml:space="preserve">http://creativecommons.org/licenses/by-sa/3.0/	</v>
    </spb>
    <spb s="0">
      <v xml:space="preserve">Cia	</v>
      <v xml:space="preserve">	</v>
      <v xml:space="preserve">https://www.cia.gov/library/publications/the-world-factbook/geos/fr.html?Transportation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2</v>
      <v>3</v>
      <v>2</v>
      <v>2</v>
      <v>2</v>
      <v>4</v>
      <v>2</v>
      <v>2</v>
      <v>4</v>
      <v>2</v>
      <v>2</v>
      <v>5</v>
      <v>6</v>
      <v>1</v>
      <v>5</v>
      <v>7</v>
      <v>2</v>
      <v>5</v>
      <v>8</v>
      <v>9</v>
      <v>10</v>
      <v>5</v>
      <v>5</v>
      <v>2</v>
      <v>5</v>
      <v>11</v>
      <v>12</v>
      <v>13</v>
      <v>14</v>
      <v>5</v>
      <v>1</v>
      <v>5</v>
      <v>5</v>
      <v>5</v>
      <v>5</v>
      <v>5</v>
      <v>5</v>
      <v>5</v>
      <v>5</v>
      <v>5</v>
      <v>5</v>
      <v>15</v>
    </spb>
    <spb s="2">
      <v>0</v>
      <v>Name</v>
      <v>LearnMoreOnLink</v>
    </spb>
    <spb s="3">
      <v>0</v>
      <v>0</v>
      <v>0</v>
    </spb>
    <spb s="4">
      <v>18</v>
      <v>18</v>
      <v>18</v>
    </spb>
    <spb s="5">
      <v>1</v>
      <v>2</v>
    </spb>
    <spb s="6">
      <v>https://www.bing.com</v>
      <v>https://www.bing.com/th?id=Ga%5Cbing_yt.png&amp;w=100&amp;h=40&amp;c=0&amp;pid=0.1</v>
      <v>Powered by Bing</v>
    </spb>
    <spb s="7">
      <v>2019</v>
      <v>2019</v>
      <v>square km</v>
      <v>per thousand (2018)</v>
      <v>2022</v>
      <v>2019</v>
      <v>2018</v>
      <v>per liter (2016)</v>
      <v>2019</v>
      <v>years (2018)</v>
      <v>2018</v>
      <v>per thousand (2018)</v>
      <v>2019</v>
      <v>2017</v>
      <v>2016</v>
      <v>2019</v>
      <v>2016</v>
      <v>2018</v>
      <v>kilotons per year (2014)</v>
      <v>deaths per 100,000 (2017)</v>
      <v>kWh (2014)</v>
      <v>2015</v>
      <v>2018</v>
      <v>2017</v>
      <v>2017</v>
      <v>2017</v>
      <v>2017</v>
      <v>2017</v>
      <v>2015</v>
      <v>2017</v>
      <v>2017</v>
      <v>2017</v>
      <v>2017</v>
      <v>2019</v>
    </spb>
    <spb s="8">
      <v>3</v>
    </spb>
    <spb s="8">
      <v>4</v>
    </spb>
    <spb s="8">
      <v>5</v>
    </spb>
    <spb s="8">
      <v>6</v>
    </spb>
    <spb s="8">
      <v>7</v>
    </spb>
    <spb s="8">
      <v>8</v>
    </spb>
    <spb s="8">
      <v>9</v>
    </spb>
    <spb s="8">
      <v>10</v>
    </spb>
    <spb s="8">
      <v>11</v>
    </spb>
  </spbData>
</supportingPropertyBags>
</file>

<file path=xl/richData/rdsupportingpropertybagstructure.xml><?xml version="1.0" encoding="utf-8"?>
<spbStructures xmlns="http://schemas.microsoft.com/office/spreadsheetml/2017/richdata2" count="9">
  <s>
    <k n="SourceText" t="s"/>
    <k n="LicenseText" t="s"/>
    <k n="SourceAddress" t="s"/>
    <k n="LicenseAddress"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UniqueName" t="spb"/>
    <k n="VDPID/VSID" t="spb"/>
    <k n="LearnMoreOnLink" t="spb"/>
  </s>
  <s>
    <k n="Name" t="i"/>
    <k n="Image"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IsHeroField" t="b"/>
    <rPr n="NumberFormat" t="s"/>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A5D5EB-EA98-4227-B975-2F7FE5B4878C}" name="Constants" displayName="Constants" ref="A5:B9" totalsRowShown="0">
  <autoFilter ref="A5:B9" xr:uid="{CDA5D5EB-EA98-4227-B975-2F7FE5B4878C}"/>
  <tableColumns count="2">
    <tableColumn id="3" xr3:uid="{45B9570F-6771-44C0-B1C4-6D0E2857D3F7}" name="Boolean"/>
    <tableColumn id="2" xr3:uid="{B93A352F-A100-44FD-952E-B822DB856CF0}" name="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D019D-52DB-4665-AAF7-2BFDC8A945F5}" name="Queries" displayName="Queries" ref="A1:G2" totalsRowShown="0">
  <autoFilter ref="A1:G2" xr:uid="{48AD019D-52DB-4665-AAF7-2BFDC8A945F5}"/>
  <tableColumns count="7">
    <tableColumn id="2" xr3:uid="{C55700A0-D027-453C-BC6F-55EA13BB4D40}" name="Query number" dataDxfId="11"/>
    <tableColumn id="1" xr3:uid="{B8FCA4BA-8D68-45B5-95B2-1735FD17D890}" name="Query idt" dataDxfId="10">
      <calculatedColumnFormula>Queries[[#This Row],[Platform]]&amp;" - "&amp;Queries[[#This Row],[Keywords used]]</calculatedColumnFormula>
    </tableColumn>
    <tableColumn id="8" xr3:uid="{86DB6621-42C0-477F-B566-F6D1FF25535D}" name="Nb of useful docs" dataDxfId="9">
      <calculatedColumnFormula array="1">AVERAGE(IF(_xlfn._xlws.FILTER(Documents[Related query],Documents[Related query]=B2,0)=0,0,COUNTA(_xlfn._xlws.FILTER(Documents[Related query],Documents[Related query]=B2))))</calculatedColumnFormula>
    </tableColumn>
    <tableColumn id="6" xr3:uid="{278F244F-C595-4FCC-9B0C-44EE43E59085}" name="Platform"/>
    <tableColumn id="7" xr3:uid="{88FC2F31-845B-4850-BD89-878FA0BF5A48}" name="Keywords used" dataDxfId="8"/>
    <tableColumn id="4" xr3:uid="{76DE2931-59AB-4996-A80A-CA61522401BA}" name="URL"/>
    <tableColumn id="5" xr3:uid="{FF392C5D-FDF7-4945-956A-7E9E0A73C427}" name="Comment"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88960C-2EC9-4B8F-B4CF-97701025539D}" name="Documents" displayName="Documents" ref="A1:J2" totalsRowShown="0">
  <autoFilter ref="A1:J2" xr:uid="{1988960C-2EC9-4B8F-B4CF-97701025539D}"/>
  <tableColumns count="10">
    <tableColumn id="1" xr3:uid="{7EB5840F-122C-4FE7-8746-4403B7920027}" name="Title" dataDxfId="6"/>
    <tableColumn id="11" xr3:uid="{1130261B-ACC3-4A6A-916D-3B341FF4A652}" name="Idt" dataDxfId="5"/>
    <tableColumn id="2" xr3:uid="{5AE48966-FD2E-4BB2-B7E6-528E9A8BF291}" name="Type"/>
    <tableColumn id="5" xr3:uid="{17B34B1D-49B2-4A0E-8DFF-1EA01A431371}" name="Country"/>
    <tableColumn id="6" xr3:uid="{40230A9A-7100-4A7C-AC80-F83E22C8D9AA}" name="Relevance"/>
    <tableColumn id="4" xr3:uid="{CA4BC819-5B22-46FE-9971-13BE0C32B06E}" name="Key informations" dataDxfId="4"/>
    <tableColumn id="7" xr3:uid="{42B0DB08-894F-4CC6-9ACD-F7DA32867FCE}" name="Related query" dataDxfId="3"/>
    <tableColumn id="8" xr3:uid="{B25BA7DC-AECC-49E8-A5D4-A7C574B48A23}" name="Year"/>
    <tableColumn id="13" xr3:uid="{C2E04413-855C-4B26-B530-E119DD64E25F}" name="Cited in - name"/>
    <tableColumn id="14" xr3:uid="{86F197F4-BD34-4368-974C-AC559A567912}" name="Cited in - idt" dataDxfId="2">
      <calculatedColumnFormula>VLOOKUP(Documents[[#This Row],[Cited in - name]],Documents[Title]:Documents[Idt],2,FALSE)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s://www.buildwise.be/fr/normes-et-reglementations/bim-digital-construction/"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C3739-8E05-4116-BFAB-F07899114EFD}">
  <sheetPr codeName="Feuil2"/>
  <dimension ref="A1:E9"/>
  <sheetViews>
    <sheetView tabSelected="1" workbookViewId="0">
      <selection activeCell="C11" sqref="C11"/>
    </sheetView>
  </sheetViews>
  <sheetFormatPr baseColWidth="10" defaultColWidth="11.44140625" defaultRowHeight="14.4" x14ac:dyDescent="0.3"/>
  <cols>
    <col min="2" max="2" width="13.33203125" bestFit="1" customWidth="1"/>
    <col min="5" max="5" width="13.33203125" bestFit="1" customWidth="1"/>
  </cols>
  <sheetData>
    <row r="1" spans="1:5" ht="23.4" x14ac:dyDescent="0.45">
      <c r="A1" s="7" t="s">
        <v>35</v>
      </c>
    </row>
    <row r="3" spans="1:5" ht="20.399999999999999" thickBot="1" x14ac:dyDescent="0.45">
      <c r="A3" s="4" t="s">
        <v>36</v>
      </c>
      <c r="D3" s="4" t="s">
        <v>37</v>
      </c>
    </row>
    <row r="4" spans="1:5" ht="15" thickTop="1" x14ac:dyDescent="0.3"/>
    <row r="5" spans="1:5" x14ac:dyDescent="0.3">
      <c r="A5" t="s">
        <v>38</v>
      </c>
      <c r="B5" t="s">
        <v>0</v>
      </c>
      <c r="D5" t="b" cm="1">
        <f t="array" ref="D5:D6">_xlfn._xlws.FILTER(Constants[Boolean],Constants[Boolean]&lt;&gt;"","")</f>
        <v>1</v>
      </c>
      <c r="E5" t="str" cm="1">
        <f t="array" ref="E5:E8">_xlfn._xlws.FILTER(Constants[Type],Constants[Type]&lt;&gt;"","")</f>
        <v>book</v>
      </c>
    </row>
    <row r="6" spans="1:5" x14ac:dyDescent="0.3">
      <c r="A6" t="b">
        <v>1</v>
      </c>
      <c r="B6" t="s">
        <v>31</v>
      </c>
      <c r="D6" t="b">
        <v>0</v>
      </c>
      <c r="E6" t="str">
        <v>scientific paper</v>
      </c>
    </row>
    <row r="7" spans="1:5" x14ac:dyDescent="0.3">
      <c r="A7" t="b">
        <v>0</v>
      </c>
      <c r="B7" t="s">
        <v>32</v>
      </c>
      <c r="E7" t="str">
        <v>lesson</v>
      </c>
    </row>
    <row r="8" spans="1:5" x14ac:dyDescent="0.3">
      <c r="B8" t="s">
        <v>33</v>
      </c>
      <c r="E8" t="str">
        <v>web page</v>
      </c>
    </row>
    <row r="9" spans="1:5" x14ac:dyDescent="0.3">
      <c r="B9" t="s">
        <v>34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3D9DA-4442-4344-BD5A-4AA1602846F8}">
  <sheetPr codeName="Feuil3"/>
  <dimension ref="A1:G2"/>
  <sheetViews>
    <sheetView zoomScale="119" zoomScaleNormal="115" workbookViewId="0">
      <selection activeCell="C2" sqref="C2"/>
    </sheetView>
  </sheetViews>
  <sheetFormatPr baseColWidth="10" defaultColWidth="11.44140625" defaultRowHeight="14.4" x14ac:dyDescent="0.3"/>
  <cols>
    <col min="1" max="1" width="16.33203125" bestFit="1" customWidth="1"/>
    <col min="2" max="2" width="20.6640625" customWidth="1"/>
    <col min="3" max="3" width="18.6640625" bestFit="1" customWidth="1"/>
    <col min="4" max="4" width="13.109375" bestFit="1" customWidth="1"/>
    <col min="5" max="5" width="20.6640625" customWidth="1"/>
    <col min="7" max="7" width="40.6640625" customWidth="1"/>
  </cols>
  <sheetData>
    <row r="1" spans="1:7" x14ac:dyDescent="0.3">
      <c r="A1" t="s">
        <v>11</v>
      </c>
      <c r="B1" t="s">
        <v>30</v>
      </c>
      <c r="C1" t="s">
        <v>12</v>
      </c>
      <c r="D1" t="s">
        <v>13</v>
      </c>
      <c r="E1" t="s">
        <v>14</v>
      </c>
      <c r="F1" t="s">
        <v>15</v>
      </c>
      <c r="G1" t="s">
        <v>16</v>
      </c>
    </row>
    <row r="2" spans="1:7" ht="43.2" x14ac:dyDescent="0.3">
      <c r="A2" s="6" t="s">
        <v>9</v>
      </c>
      <c r="B2" s="1" t="str">
        <f>Queries[[#This Row],[Platform]]&amp;" - "&amp;Queries[[#This Row],[Keywords used]]</f>
        <v>Buildwise - BIM digital</v>
      </c>
      <c r="C2" s="3" cm="1">
        <f t="array" ref="C2">AVERAGE(IF(_xlfn._xlws.FILTER(Documents[Related query],Documents[Related query]=B2,0)=0,0,COUNTA(_xlfn._xlws.FILTER(Documents[Related query],Documents[Related query]=B2))))</f>
        <v>0</v>
      </c>
      <c r="D2" t="s">
        <v>6</v>
      </c>
      <c r="E2" s="1" t="s">
        <v>7</v>
      </c>
      <c r="F2" s="2" t="s">
        <v>4</v>
      </c>
      <c r="G2" s="1" t="s">
        <v>5</v>
      </c>
    </row>
  </sheetData>
  <phoneticPr fontId="4" type="noConversion"/>
  <hyperlinks>
    <hyperlink ref="F2" r:id="rId1" xr:uid="{2E17BDA6-DD55-4295-8498-AB86A82D9F1F}"/>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4"/>
  <dimension ref="A1:J2"/>
  <sheetViews>
    <sheetView zoomScale="109" zoomScaleNormal="130" workbookViewId="0">
      <pane xSplit="2" topLeftCell="D1" activePane="topRight" state="frozen"/>
      <selection pane="topRight" activeCell="F8" sqref="F8"/>
    </sheetView>
  </sheetViews>
  <sheetFormatPr baseColWidth="10" defaultColWidth="8.88671875" defaultRowHeight="14.4" x14ac:dyDescent="0.3"/>
  <cols>
    <col min="1" max="1" width="30.6640625" style="1" customWidth="1"/>
    <col min="2" max="2" width="5.5546875" bestFit="1" customWidth="1"/>
    <col min="4" max="4" width="15.109375" bestFit="1" customWidth="1"/>
    <col min="5" max="5" width="12.44140625" bestFit="1" customWidth="1"/>
    <col min="6" max="6" width="60.6640625" customWidth="1"/>
    <col min="7" max="7" width="19.5546875" customWidth="1"/>
    <col min="8" max="8" width="9.109375" bestFit="1" customWidth="1"/>
    <col min="9" max="9" width="16.44140625" bestFit="1" customWidth="1"/>
    <col min="10" max="11" width="16.33203125" bestFit="1" customWidth="1"/>
  </cols>
  <sheetData>
    <row r="1" spans="1:10" x14ac:dyDescent="0.3">
      <c r="A1" s="1" t="s">
        <v>22</v>
      </c>
      <c r="B1" t="s">
        <v>8</v>
      </c>
      <c r="C1" t="s">
        <v>0</v>
      </c>
      <c r="D1" t="s">
        <v>23</v>
      </c>
      <c r="E1" t="s">
        <v>24</v>
      </c>
      <c r="F1" t="s">
        <v>25</v>
      </c>
      <c r="G1" t="s">
        <v>26</v>
      </c>
      <c r="H1" t="s">
        <v>27</v>
      </c>
      <c r="I1" t="s">
        <v>28</v>
      </c>
      <c r="J1" t="s">
        <v>29</v>
      </c>
    </row>
    <row r="2" spans="1:10" ht="28.8" x14ac:dyDescent="0.3">
      <c r="A2" s="1" t="s">
        <v>1</v>
      </c>
      <c r="B2" s="6" t="s">
        <v>9</v>
      </c>
      <c r="C2" t="s">
        <v>31</v>
      </c>
      <c r="D2" t="e" vm="1">
        <v>#VALUE!</v>
      </c>
      <c r="E2">
        <v>1</v>
      </c>
      <c r="F2" s="1" t="s">
        <v>2</v>
      </c>
      <c r="G2" s="1" t="s">
        <v>10</v>
      </c>
      <c r="H2">
        <v>2020</v>
      </c>
      <c r="I2" t="s">
        <v>1</v>
      </c>
      <c r="J2" t="str">
        <f>VLOOKUP(Documents[[#This Row],[Cited in - name]],Documents[Title]:Documents[Idt],2,FALSE)</f>
        <v>001</v>
      </c>
    </row>
  </sheetData>
  <conditionalFormatting sqref="A2">
    <cfRule type="duplicateValues" dxfId="1" priority="5"/>
  </conditionalFormatting>
  <conditionalFormatting sqref="B2">
    <cfRule type="duplicateValues" dxfId="0" priority="6"/>
  </conditionalFormatting>
  <dataValidations count="4">
    <dataValidation type="list" allowBlank="1" showInputMessage="1" showErrorMessage="1" sqref="G2" xr:uid="{28D6C779-2145-4786-8847-22295CE007A1}">
      <formula1>INDIRECT("Queries[Query idt]")</formula1>
    </dataValidation>
    <dataValidation type="list" allowBlank="1" showInputMessage="1" showErrorMessage="1" sqref="I2" xr:uid="{D3FD566E-78B2-4AB3-89AD-E404E785BE2A}">
      <formula1>INDIRECT("Documents[Title]")</formula1>
    </dataValidation>
    <dataValidation type="whole" allowBlank="1" showInputMessage="1" showErrorMessage="1" sqref="E2" xr:uid="{E4E57C53-128A-40F1-BFBC-0ADFB19611A3}">
      <formula1>1</formula1>
      <formula2>5</formula2>
    </dataValidation>
    <dataValidation type="list" allowBlank="1" showInputMessage="1" showErrorMessage="1" sqref="C2" xr:uid="{45004B87-52BD-49F1-B2AC-F22C694D9F9C}">
      <formula1>_xlfn.ANCHORARRAY(DV_type)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E4C22-6011-4E8B-A751-3565981A771B}">
  <dimension ref="A1:E34"/>
  <sheetViews>
    <sheetView workbookViewId="0">
      <selection activeCell="B12" sqref="B12"/>
    </sheetView>
  </sheetViews>
  <sheetFormatPr baseColWidth="10" defaultColWidth="11.44140625" defaultRowHeight="14.4" x14ac:dyDescent="0.3"/>
  <cols>
    <col min="1" max="1" width="19.5546875" bestFit="1" customWidth="1"/>
    <col min="2" max="2" width="13.21875" bestFit="1" customWidth="1"/>
    <col min="4" max="4" width="12.88671875" bestFit="1" customWidth="1"/>
  </cols>
  <sheetData>
    <row r="1" spans="1:5" ht="23.4" x14ac:dyDescent="0.45">
      <c r="A1" s="7" t="s">
        <v>19</v>
      </c>
    </row>
    <row r="3" spans="1:5" ht="20.399999999999999" thickBot="1" x14ac:dyDescent="0.45">
      <c r="A3" s="4" t="s">
        <v>21</v>
      </c>
    </row>
    <row r="4" spans="1:5" ht="15" thickTop="1" x14ac:dyDescent="0.3"/>
    <row r="7" spans="1:5" x14ac:dyDescent="0.3">
      <c r="A7" s="8" t="s">
        <v>17</v>
      </c>
      <c r="B7" t="s">
        <v>18</v>
      </c>
    </row>
    <row r="8" spans="1:5" x14ac:dyDescent="0.3">
      <c r="A8" s="9" t="s">
        <v>3</v>
      </c>
      <c r="B8" s="10">
        <v>1</v>
      </c>
      <c r="D8" t="str">
        <f>IF(ISBLANK(A8),"",A8)</f>
        <v>France</v>
      </c>
      <c r="E8">
        <f t="shared" ref="E8:E18" si="0">B8</f>
        <v>1</v>
      </c>
    </row>
    <row r="9" spans="1:5" x14ac:dyDescent="0.3">
      <c r="D9" t="str">
        <f t="shared" ref="D9:D34" si="1">IF(ISBLANK(A9),"",A9)</f>
        <v/>
      </c>
      <c r="E9">
        <f t="shared" si="0"/>
        <v>0</v>
      </c>
    </row>
    <row r="10" spans="1:5" x14ac:dyDescent="0.3">
      <c r="D10" t="str">
        <f t="shared" si="1"/>
        <v/>
      </c>
      <c r="E10">
        <f t="shared" si="0"/>
        <v>0</v>
      </c>
    </row>
    <row r="11" spans="1:5" x14ac:dyDescent="0.3">
      <c r="D11" t="str">
        <f t="shared" si="1"/>
        <v/>
      </c>
      <c r="E11">
        <f t="shared" si="0"/>
        <v>0</v>
      </c>
    </row>
    <row r="12" spans="1:5" x14ac:dyDescent="0.3">
      <c r="D12" t="str">
        <f t="shared" si="1"/>
        <v/>
      </c>
      <c r="E12">
        <f t="shared" si="0"/>
        <v>0</v>
      </c>
    </row>
    <row r="13" spans="1:5" x14ac:dyDescent="0.3">
      <c r="D13" t="str">
        <f t="shared" si="1"/>
        <v/>
      </c>
      <c r="E13">
        <f t="shared" si="0"/>
        <v>0</v>
      </c>
    </row>
    <row r="14" spans="1:5" x14ac:dyDescent="0.3">
      <c r="D14" t="str">
        <f t="shared" si="1"/>
        <v/>
      </c>
      <c r="E14">
        <f t="shared" si="0"/>
        <v>0</v>
      </c>
    </row>
    <row r="15" spans="1:5" x14ac:dyDescent="0.3">
      <c r="D15" t="str">
        <f t="shared" si="1"/>
        <v/>
      </c>
      <c r="E15">
        <f t="shared" si="0"/>
        <v>0</v>
      </c>
    </row>
    <row r="16" spans="1:5" x14ac:dyDescent="0.3">
      <c r="D16" t="str">
        <f t="shared" si="1"/>
        <v/>
      </c>
      <c r="E16">
        <f t="shared" si="0"/>
        <v>0</v>
      </c>
    </row>
    <row r="17" spans="4:5" x14ac:dyDescent="0.3">
      <c r="D17" t="str">
        <f t="shared" si="1"/>
        <v/>
      </c>
      <c r="E17">
        <f t="shared" si="0"/>
        <v>0</v>
      </c>
    </row>
    <row r="18" spans="4:5" x14ac:dyDescent="0.3">
      <c r="D18" t="str">
        <f t="shared" si="1"/>
        <v/>
      </c>
      <c r="E18">
        <f t="shared" si="0"/>
        <v>0</v>
      </c>
    </row>
    <row r="19" spans="4:5" x14ac:dyDescent="0.3">
      <c r="D19" t="str">
        <f t="shared" si="1"/>
        <v/>
      </c>
      <c r="E19">
        <f t="shared" ref="E19:E34" si="2">B19</f>
        <v>0</v>
      </c>
    </row>
    <row r="20" spans="4:5" x14ac:dyDescent="0.3">
      <c r="D20" t="str">
        <f t="shared" si="1"/>
        <v/>
      </c>
      <c r="E20">
        <f t="shared" si="2"/>
        <v>0</v>
      </c>
    </row>
    <row r="21" spans="4:5" x14ac:dyDescent="0.3">
      <c r="D21" t="str">
        <f t="shared" si="1"/>
        <v/>
      </c>
      <c r="E21">
        <f t="shared" si="2"/>
        <v>0</v>
      </c>
    </row>
    <row r="22" spans="4:5" x14ac:dyDescent="0.3">
      <c r="D22" t="str">
        <f t="shared" si="1"/>
        <v/>
      </c>
      <c r="E22">
        <f t="shared" si="2"/>
        <v>0</v>
      </c>
    </row>
    <row r="23" spans="4:5" x14ac:dyDescent="0.3">
      <c r="D23" t="str">
        <f t="shared" si="1"/>
        <v/>
      </c>
      <c r="E23">
        <f t="shared" si="2"/>
        <v>0</v>
      </c>
    </row>
    <row r="24" spans="4:5" x14ac:dyDescent="0.3">
      <c r="D24" t="str">
        <f t="shared" si="1"/>
        <v/>
      </c>
      <c r="E24">
        <f t="shared" si="2"/>
        <v>0</v>
      </c>
    </row>
    <row r="25" spans="4:5" x14ac:dyDescent="0.3">
      <c r="D25" t="str">
        <f t="shared" si="1"/>
        <v/>
      </c>
      <c r="E25">
        <f t="shared" si="2"/>
        <v>0</v>
      </c>
    </row>
    <row r="26" spans="4:5" x14ac:dyDescent="0.3">
      <c r="D26" t="str">
        <f t="shared" si="1"/>
        <v/>
      </c>
      <c r="E26">
        <f t="shared" si="2"/>
        <v>0</v>
      </c>
    </row>
    <row r="27" spans="4:5" x14ac:dyDescent="0.3">
      <c r="D27" t="str">
        <f t="shared" si="1"/>
        <v/>
      </c>
      <c r="E27">
        <f t="shared" si="2"/>
        <v>0</v>
      </c>
    </row>
    <row r="28" spans="4:5" x14ac:dyDescent="0.3">
      <c r="D28" t="str">
        <f t="shared" si="1"/>
        <v/>
      </c>
      <c r="E28">
        <f t="shared" si="2"/>
        <v>0</v>
      </c>
    </row>
    <row r="29" spans="4:5" x14ac:dyDescent="0.3">
      <c r="D29" t="str">
        <f t="shared" si="1"/>
        <v/>
      </c>
      <c r="E29">
        <f t="shared" si="2"/>
        <v>0</v>
      </c>
    </row>
    <row r="30" spans="4:5" x14ac:dyDescent="0.3">
      <c r="D30" t="str">
        <f t="shared" si="1"/>
        <v/>
      </c>
      <c r="E30">
        <f t="shared" si="2"/>
        <v>0</v>
      </c>
    </row>
    <row r="31" spans="4:5" x14ac:dyDescent="0.3">
      <c r="D31" t="str">
        <f t="shared" si="1"/>
        <v/>
      </c>
      <c r="E31">
        <f t="shared" si="2"/>
        <v>0</v>
      </c>
    </row>
    <row r="32" spans="4:5" x14ac:dyDescent="0.3">
      <c r="D32" t="str">
        <f t="shared" si="1"/>
        <v/>
      </c>
      <c r="E32">
        <f t="shared" si="2"/>
        <v>0</v>
      </c>
    </row>
    <row r="33" spans="4:5" x14ac:dyDescent="0.3">
      <c r="D33" t="str">
        <f t="shared" si="1"/>
        <v/>
      </c>
      <c r="E33">
        <f t="shared" si="2"/>
        <v>0</v>
      </c>
    </row>
    <row r="34" spans="4:5" x14ac:dyDescent="0.3">
      <c r="D34" t="str">
        <f t="shared" si="1"/>
        <v/>
      </c>
      <c r="E34">
        <f t="shared" si="2"/>
        <v>0</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DF13D-4807-4F03-BF58-8BC560C091D4}">
  <sheetPr codeName="Feuil5"/>
  <dimension ref="A1:C4"/>
  <sheetViews>
    <sheetView zoomScale="115" zoomScaleNormal="115" workbookViewId="0">
      <selection activeCell="C1" sqref="C1"/>
    </sheetView>
  </sheetViews>
  <sheetFormatPr baseColWidth="10" defaultColWidth="11.44140625" defaultRowHeight="14.4" x14ac:dyDescent="0.3"/>
  <cols>
    <col min="1" max="3" width="30.6640625" style="1" customWidth="1"/>
  </cols>
  <sheetData>
    <row r="1" spans="1:1" ht="23.4" x14ac:dyDescent="0.45">
      <c r="A1" s="5" t="s">
        <v>20</v>
      </c>
    </row>
    <row r="3" spans="1:1" ht="20.399999999999999" thickBot="1" x14ac:dyDescent="0.45">
      <c r="A3" s="4" t="s">
        <v>21</v>
      </c>
    </row>
    <row r="4" spans="1:1" ht="15" thickTop="1" x14ac:dyDescent="0.3"/>
  </sheetData>
  <pageMargins left="0.25" right="0.25" top="0.75" bottom="0.75" header="0.3" footer="0.3"/>
  <pageSetup paperSize="9" orientation="portrait" r:id="rId1"/>
  <rowBreaks count="1" manualBreakCount="1">
    <brk id="2" max="16383" man="1"/>
  </rowBreaks>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Constants</vt:lpstr>
      <vt:lpstr>Queries</vt:lpstr>
      <vt:lpstr>Documents</vt:lpstr>
      <vt:lpstr>Data processing</vt:lpstr>
      <vt:lpstr>Data visualisations</vt:lpstr>
      <vt:lpstr>DV_boolean</vt:lpstr>
      <vt:lpstr>DV_type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2024-02-25T14:28:32Z</dcterms:created>
  <dcterms:modified xsi:type="dcterms:W3CDTF">2024-02-25T14:28:39Z</dcterms:modified>
</cp:coreProperties>
</file>